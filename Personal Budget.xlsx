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Luka-LapTop\Desktop\Studying\Biznis\"/>
    </mc:Choice>
  </mc:AlternateContent>
  <xr:revisionPtr revIDLastSave="0" documentId="13_ncr:1_{01BC1657-F72B-42F5-A063-6194AF022994}" xr6:coauthVersionLast="47" xr6:coauthVersionMax="47" xr10:uidLastSave="{00000000-0000-0000-0000-000000000000}"/>
  <bookViews>
    <workbookView xWindow="-23148" yWindow="-108" windowWidth="23256" windowHeight="12456" activeTab="3" xr2:uid="{1F0016F8-CEEE-4C9B-B7E2-26B5AB03EFF2}"/>
  </bookViews>
  <sheets>
    <sheet name="Settings" sheetId="1" r:id="rId1"/>
    <sheet name="Budget Planning" sheetId="2" r:id="rId2"/>
    <sheet name="Budget Tracking" sheetId="3" r:id="rId3"/>
    <sheet name="Budget Dashboard" sheetId="4" r:id="rId4"/>
    <sheet name="Calculations" sheetId="5" state="hidden" r:id="rId5"/>
    <sheet name="Dropdown Data" sheetId="6" state="hidden" r:id="rId6"/>
  </sheets>
  <definedNames>
    <definedName name="budget" localSheetId="3">'Budget Dashboard'!$L1</definedName>
    <definedName name="budget_range" localSheetId="3">'Budget Dashboard'!$Q1</definedName>
    <definedName name="budget_rank" localSheetId="3">'Budget Dashboard'!$R1</definedName>
    <definedName name="cc_budget" localSheetId="4">Calculations!$K1</definedName>
    <definedName name="cc_delta" localSheetId="4">Calculations!$L1</definedName>
    <definedName name="cc_in_focus" localSheetId="4">Calculations!$G1</definedName>
    <definedName name="cc_month_number" localSheetId="4">Calculations!$F1</definedName>
    <definedName name="cc_show_remaining_budget" localSheetId="4">Calculations!$I1</definedName>
    <definedName name="cc_show_type" localSheetId="4">Calculations!$H1</definedName>
    <definedName name="cc_tracked" localSheetId="4">Calculations!$J1</definedName>
    <definedName name="cc_type" localSheetId="4">Calculations!$E1</definedName>
    <definedName name="combined_rank" localSheetId="3">'Budget Dashboard'!$S1</definedName>
    <definedName name="combined_rank_norm" localSheetId="3">'Budget Dashboard'!$U1</definedName>
    <definedName name="combined_rank_norm_run_range" localSheetId="3">'Budget Dashboard'!$V1</definedName>
    <definedName name="combined_rank_range" localSheetId="3">'Budget Dashboard'!$T1</definedName>
    <definedName name="combined_rank_unique" localSheetId="3">'Budget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Planning'!$C$36)</definedName>
    <definedName name="header_row_id" localSheetId="3">'Budget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egory" localSheetId="3">'Budget Dashboard'!$F1</definedName>
    <definedName name="is_empty" localSheetId="3">'Budget Dashboard'!$H1</definedName>
    <definedName name="is_header" localSheetId="3">'Budget Dashboard'!$E1</definedName>
    <definedName name="is_total" localSheetId="3">'Budget Dashboard'!$G1</definedName>
    <definedName name="item" localSheetId="3">'Budget Dashboard'!$J1</definedName>
    <definedName name="out_budget" localSheetId="3">'Budget Dashboard'!$AA1</definedName>
    <definedName name="out_percentage_completed" localSheetId="3">'Budget Dashboard'!$AB1</definedName>
    <definedName name="out_tracked" localSheetId="3">'Budget Dashboard'!$Z1</definedName>
    <definedName name="row_id" localSheetId="3">'Budget Dashboard'!$C1</definedName>
    <definedName name="savings_header_row">ROW(Savings[[#Headers],[Savings]])</definedName>
    <definedName name="savings_max_row">MAX(ROW(Savings[]))</definedName>
    <definedName name="savings_min_row">MIN(ROW(Savings[]))</definedName>
    <definedName name="savings_rate_calculation_type">Settings!$E$22</definedName>
    <definedName name="savings_total_row">ROW('Budget Planning'!$C$49)</definedName>
    <definedName name="selected_period">Calculations!$E$20</definedName>
    <definedName name="selected_period_display">Calculations!$E$21</definedName>
    <definedName name="selected_year">Calculations!$E$19</definedName>
    <definedName name="shift_late_income_starting_day">Settings!$E$18</definedName>
    <definedName name="shift_late_income_status">Settings!$E$16</definedName>
    <definedName name="sort_max_row" localSheetId="3">'Budget Dashboard'!$N1</definedName>
    <definedName name="sort_min_row" localSheetId="3">'Budget Dashboard'!$M1</definedName>
    <definedName name="starting_year">Settings!$E$8</definedName>
    <definedName name="tracked" localSheetId="3">'Budget Dashboard'!$K1</definedName>
    <definedName name="tracked_range" localSheetId="3">'Budget Dashboard'!$O1</definedName>
    <definedName name="tracker_rank" localSheetId="3">'Budget Dashboard'!$P1</definedName>
    <definedName name="type" localSheetId="3">'Budget Dashboard'!$I1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5" l="1" a="1"/>
  <c r="E8" i="5" s="1"/>
  <c r="E10" i="5" s="1"/>
  <c r="I59" i="5"/>
  <c r="I60" i="5"/>
  <c r="I61" i="5"/>
  <c r="I63" i="5"/>
  <c r="I64" i="5"/>
  <c r="I65" i="5"/>
  <c r="I67" i="5"/>
  <c r="I68" i="5"/>
  <c r="I69" i="5"/>
  <c r="I71" i="5"/>
  <c r="I72" i="5"/>
  <c r="I73" i="5"/>
  <c r="I75" i="5"/>
  <c r="I76" i="5"/>
  <c r="I77" i="5"/>
  <c r="I79" i="5"/>
  <c r="I80" i="5"/>
  <c r="I81" i="5"/>
  <c r="I83" i="5"/>
  <c r="I84" i="5"/>
  <c r="I85" i="5"/>
  <c r="I87" i="5"/>
  <c r="I88" i="5"/>
  <c r="I89" i="5"/>
  <c r="I91" i="5"/>
  <c r="I92" i="5"/>
  <c r="I93" i="5"/>
  <c r="I95" i="5"/>
  <c r="I96" i="5"/>
  <c r="I97" i="5"/>
  <c r="I99" i="5"/>
  <c r="I100" i="5"/>
  <c r="I101" i="5"/>
  <c r="I56" i="5"/>
  <c r="I57" i="5"/>
  <c r="I55" i="5"/>
  <c r="H59" i="5"/>
  <c r="H60" i="5"/>
  <c r="H61" i="5"/>
  <c r="H63" i="5"/>
  <c r="H64" i="5"/>
  <c r="H65" i="5"/>
  <c r="H67" i="5"/>
  <c r="H68" i="5"/>
  <c r="H69" i="5"/>
  <c r="H71" i="5"/>
  <c r="H72" i="5"/>
  <c r="H73" i="5"/>
  <c r="H75" i="5"/>
  <c r="H76" i="5"/>
  <c r="H77" i="5"/>
  <c r="H79" i="5"/>
  <c r="H80" i="5"/>
  <c r="H81" i="5"/>
  <c r="H83" i="5"/>
  <c r="H84" i="5"/>
  <c r="H85" i="5"/>
  <c r="H87" i="5"/>
  <c r="H88" i="5"/>
  <c r="H89" i="5"/>
  <c r="H91" i="5"/>
  <c r="H92" i="5"/>
  <c r="H93" i="5"/>
  <c r="H95" i="5"/>
  <c r="H96" i="5"/>
  <c r="H97" i="5"/>
  <c r="H99" i="5"/>
  <c r="H100" i="5"/>
  <c r="H101" i="5"/>
  <c r="H57" i="5"/>
  <c r="H56" i="5"/>
  <c r="H55" i="5"/>
  <c r="F38" i="5" a="1"/>
  <c r="F38" i="5" s="1"/>
  <c r="E38" i="5" s="1" a="1"/>
  <c r="E38" i="5" s="1"/>
  <c r="F39" i="5" a="1"/>
  <c r="F39" i="5" s="1"/>
  <c r="E39" i="5" s="1" a="1"/>
  <c r="E39" i="5" s="1"/>
  <c r="AP35" i="4"/>
  <c r="AI35" i="4"/>
  <c r="AI22" i="4"/>
  <c r="H70" i="3" a="1"/>
  <c r="H70" i="3" s="1"/>
  <c r="I70" i="3"/>
  <c r="H69" i="3" a="1"/>
  <c r="H69" i="3" s="1"/>
  <c r="I69" i="3"/>
  <c r="H68" i="3" a="1"/>
  <c r="H68" i="3" s="1"/>
  <c r="I68" i="3"/>
  <c r="H67" i="3" a="1"/>
  <c r="H67" i="3" s="1"/>
  <c r="I67" i="3"/>
  <c r="H66" i="3" a="1"/>
  <c r="H66" i="3" s="1"/>
  <c r="I66" i="3"/>
  <c r="H65" i="3" a="1"/>
  <c r="H65" i="3" s="1"/>
  <c r="I65" i="3"/>
  <c r="H64" i="3" a="1"/>
  <c r="H64" i="3" s="1"/>
  <c r="I64" i="3"/>
  <c r="H63" i="3" a="1"/>
  <c r="H63" i="3" s="1"/>
  <c r="I63" i="3"/>
  <c r="H62" i="3" a="1"/>
  <c r="H62" i="3" s="1"/>
  <c r="I62" i="3"/>
  <c r="H61" i="3" a="1"/>
  <c r="H61" i="3" s="1"/>
  <c r="I61" i="3"/>
  <c r="H60" i="3" a="1"/>
  <c r="H60" i="3" s="1"/>
  <c r="I60" i="3"/>
  <c r="H55" i="3" a="1"/>
  <c r="H55" i="3" s="1"/>
  <c r="I55" i="3"/>
  <c r="H31" i="3" a="1"/>
  <c r="H31" i="3" s="1"/>
  <c r="I31" i="3"/>
  <c r="H59" i="3" a="1"/>
  <c r="H59" i="3" s="1"/>
  <c r="I59" i="3"/>
  <c r="H58" i="3" a="1"/>
  <c r="H58" i="3" s="1"/>
  <c r="I58" i="3"/>
  <c r="H57" i="3" a="1"/>
  <c r="H57" i="3" s="1"/>
  <c r="I57" i="3"/>
  <c r="H56" i="3" a="1"/>
  <c r="H56" i="3" s="1"/>
  <c r="I56" i="3"/>
  <c r="H54" i="3" a="1"/>
  <c r="H54" i="3" s="1"/>
  <c r="I54" i="3"/>
  <c r="H53" i="3" a="1"/>
  <c r="H53" i="3" s="1"/>
  <c r="I53" i="3"/>
  <c r="H52" i="3" a="1"/>
  <c r="H52" i="3" s="1"/>
  <c r="I52" i="3"/>
  <c r="H51" i="3" a="1"/>
  <c r="H51" i="3" s="1"/>
  <c r="I51" i="3"/>
  <c r="H50" i="3" a="1"/>
  <c r="H50" i="3" s="1"/>
  <c r="I50" i="3"/>
  <c r="H49" i="3" a="1"/>
  <c r="H49" i="3" s="1"/>
  <c r="I49" i="3"/>
  <c r="H48" i="3" a="1"/>
  <c r="H48" i="3" s="1"/>
  <c r="I48" i="3"/>
  <c r="H47" i="3" a="1"/>
  <c r="H47" i="3" s="1"/>
  <c r="I47" i="3"/>
  <c r="H46" i="3" a="1"/>
  <c r="H46" i="3" s="1"/>
  <c r="I46" i="3"/>
  <c r="H45" i="3" a="1"/>
  <c r="H45" i="3" s="1"/>
  <c r="I45" i="3"/>
  <c r="H44" i="3" a="1"/>
  <c r="H44" i="3" s="1"/>
  <c r="I44" i="3"/>
  <c r="H43" i="3" a="1"/>
  <c r="H43" i="3" s="1"/>
  <c r="I43" i="3"/>
  <c r="H42" i="3" a="1"/>
  <c r="H42" i="3" s="1"/>
  <c r="I42" i="3"/>
  <c r="H41" i="3" a="1"/>
  <c r="H41" i="3" s="1"/>
  <c r="I41" i="3"/>
  <c r="H36" i="3" a="1"/>
  <c r="H36" i="3" s="1"/>
  <c r="I36" i="3"/>
  <c r="H35" i="3" a="1"/>
  <c r="H35" i="3" s="1"/>
  <c r="I35" i="3"/>
  <c r="H34" i="3" a="1"/>
  <c r="H34" i="3" s="1"/>
  <c r="I34" i="3"/>
  <c r="H33" i="3" a="1"/>
  <c r="H33" i="3" s="1"/>
  <c r="I33" i="3"/>
  <c r="H32" i="3" a="1"/>
  <c r="H32" i="3" s="1"/>
  <c r="I32" i="3"/>
  <c r="H30" i="3" a="1"/>
  <c r="H30" i="3" s="1"/>
  <c r="I30" i="3"/>
  <c r="H29" i="3" a="1"/>
  <c r="H29" i="3" s="1"/>
  <c r="I29" i="3"/>
  <c r="H28" i="3" a="1"/>
  <c r="H28" i="3" s="1"/>
  <c r="I28" i="3"/>
  <c r="H27" i="3" a="1"/>
  <c r="H27" i="3" s="1"/>
  <c r="I27" i="3"/>
  <c r="H26" i="3" a="1"/>
  <c r="H26" i="3" s="1"/>
  <c r="I26" i="3"/>
  <c r="H25" i="3" a="1"/>
  <c r="H25" i="3" s="1"/>
  <c r="I25" i="3"/>
  <c r="H24" i="3" a="1"/>
  <c r="H24" i="3" s="1"/>
  <c r="I24" i="3"/>
  <c r="H23" i="3" a="1"/>
  <c r="H23" i="3" s="1"/>
  <c r="I23" i="3"/>
  <c r="H22" i="3" a="1"/>
  <c r="H22" i="3" s="1"/>
  <c r="I22" i="3"/>
  <c r="H21" i="3" a="1"/>
  <c r="H21" i="3" s="1"/>
  <c r="I21" i="3"/>
  <c r="H20" i="3" a="1"/>
  <c r="H20" i="3" s="1"/>
  <c r="I20" i="3"/>
  <c r="H19" i="3" a="1"/>
  <c r="H19" i="3" s="1"/>
  <c r="I19" i="3"/>
  <c r="H18" i="3" a="1"/>
  <c r="H18" i="3" s="1"/>
  <c r="I18" i="3"/>
  <c r="H17" i="3" a="1"/>
  <c r="H17" i="3" s="1"/>
  <c r="I17" i="3"/>
  <c r="H16" i="3" a="1"/>
  <c r="H16" i="3" s="1"/>
  <c r="I16" i="3"/>
  <c r="K101" i="4" a="1"/>
  <c r="K101" i="4" s="1"/>
  <c r="K113" i="4" a="1"/>
  <c r="K113" i="4" s="1"/>
  <c r="H40" i="3" a="1"/>
  <c r="H40" i="3" s="1"/>
  <c r="I40" i="3"/>
  <c r="H39" i="3" a="1"/>
  <c r="H39" i="3" s="1"/>
  <c r="I39" i="3"/>
  <c r="H38" i="3" a="1"/>
  <c r="H38" i="3" s="1"/>
  <c r="I38" i="3"/>
  <c r="H37" i="3" a="1"/>
  <c r="H37" i="3" s="1"/>
  <c r="I37" i="3"/>
  <c r="D195" i="4"/>
  <c r="I195" i="4" s="1" a="1"/>
  <c r="I195" i="4" s="1"/>
  <c r="F43" i="4"/>
  <c r="F187" i="4"/>
  <c r="M187" i="4" s="1" a="1"/>
  <c r="M187" i="4" s="1"/>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D130" i="4" s="1"/>
  <c r="I130" i="4" s="1" a="1"/>
  <c r="I130" i="4" s="1"/>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AD193" i="4" s="1"/>
  <c r="H194" i="4"/>
  <c r="H195" i="4"/>
  <c r="H196" i="4"/>
  <c r="H197" i="4"/>
  <c r="H198" i="4"/>
  <c r="H199" i="4"/>
  <c r="H200" i="4"/>
  <c r="H13" i="4"/>
  <c r="G14" i="4" a="1"/>
  <c r="G14" i="4" s="1"/>
  <c r="G15" i="4" a="1"/>
  <c r="G15" i="4" s="1"/>
  <c r="G16" i="4" a="1"/>
  <c r="G16" i="4" s="1"/>
  <c r="G17" i="4" a="1"/>
  <c r="G17" i="4" s="1"/>
  <c r="G18" i="4" a="1"/>
  <c r="G18" i="4" s="1"/>
  <c r="G19" i="4" a="1"/>
  <c r="G19" i="4" s="1"/>
  <c r="G20" i="4" a="1"/>
  <c r="G20" i="4" s="1"/>
  <c r="G21" i="4" a="1"/>
  <c r="G21" i="4" s="1"/>
  <c r="G22" i="4" a="1"/>
  <c r="G22" i="4" s="1"/>
  <c r="G23" i="4" a="1"/>
  <c r="G23" i="4" s="1"/>
  <c r="G24" i="4" a="1"/>
  <c r="G24" i="4" s="1"/>
  <c r="G25" i="4" a="1"/>
  <c r="G25" i="4" s="1"/>
  <c r="G26" i="4" a="1"/>
  <c r="G26" i="4" s="1"/>
  <c r="F26" i="4" s="1"/>
  <c r="G27" i="4" a="1"/>
  <c r="G27" i="4" s="1"/>
  <c r="G28" i="4" a="1"/>
  <c r="G28" i="4" s="1"/>
  <c r="G29" i="4" a="1"/>
  <c r="G29" i="4" s="1"/>
  <c r="G30" i="4" a="1"/>
  <c r="G30" i="4" s="1"/>
  <c r="G31" i="4" a="1"/>
  <c r="G31" i="4" s="1"/>
  <c r="G32" i="4" a="1"/>
  <c r="G32" i="4" s="1"/>
  <c r="G33" i="4" a="1"/>
  <c r="G33" i="4" s="1"/>
  <c r="G34" i="4" a="1"/>
  <c r="G34" i="4" s="1"/>
  <c r="G35" i="4" a="1"/>
  <c r="G35" i="4" s="1"/>
  <c r="G36" i="4" a="1"/>
  <c r="G36" i="4" s="1"/>
  <c r="G37" i="4" a="1"/>
  <c r="G37" i="4" s="1"/>
  <c r="G38" i="4" a="1"/>
  <c r="G38" i="4" s="1"/>
  <c r="G39" i="4" a="1"/>
  <c r="G39" i="4" s="1"/>
  <c r="G40" i="4" a="1"/>
  <c r="G40" i="4" s="1"/>
  <c r="G41" i="4" a="1"/>
  <c r="G41" i="4" s="1"/>
  <c r="G42" i="4" a="1"/>
  <c r="G42" i="4" s="1"/>
  <c r="G43" i="4" a="1"/>
  <c r="G43" i="4" s="1"/>
  <c r="G44" i="4" a="1"/>
  <c r="G44" i="4" s="1"/>
  <c r="G45" i="4" a="1"/>
  <c r="G45" i="4" s="1"/>
  <c r="G46" i="4" a="1"/>
  <c r="G46" i="4" s="1"/>
  <c r="G47" i="4" a="1"/>
  <c r="G47" i="4" s="1"/>
  <c r="G48" i="4" a="1"/>
  <c r="G48" i="4" s="1"/>
  <c r="G49" i="4" a="1"/>
  <c r="G49" i="4" s="1"/>
  <c r="G50" i="4" a="1"/>
  <c r="G50" i="4" s="1"/>
  <c r="G51" i="4" a="1"/>
  <c r="G51" i="4" s="1"/>
  <c r="G52" i="4" a="1"/>
  <c r="G52" i="4" s="1"/>
  <c r="G53" i="4" a="1"/>
  <c r="G53" i="4" s="1"/>
  <c r="G54" i="4" a="1"/>
  <c r="G54" i="4" s="1"/>
  <c r="G55" i="4" a="1"/>
  <c r="G55" i="4" s="1"/>
  <c r="G56" i="4" a="1"/>
  <c r="G56" i="4" s="1"/>
  <c r="G57" i="4" a="1"/>
  <c r="G57" i="4" s="1"/>
  <c r="G58" i="4" a="1"/>
  <c r="G58" i="4" s="1"/>
  <c r="G59" i="4" a="1"/>
  <c r="G59" i="4" s="1"/>
  <c r="G60" i="4" a="1"/>
  <c r="G60" i="4" s="1"/>
  <c r="G61" i="4" a="1"/>
  <c r="G61" i="4" s="1"/>
  <c r="G62" i="4" a="1"/>
  <c r="G62" i="4" s="1"/>
  <c r="G63" i="4" a="1"/>
  <c r="G63" i="4" s="1"/>
  <c r="G64" i="4" a="1"/>
  <c r="G64" i="4" s="1"/>
  <c r="G65" i="4" a="1"/>
  <c r="G65" i="4" s="1"/>
  <c r="G66" i="4" a="1"/>
  <c r="G66" i="4" s="1"/>
  <c r="G67" i="4" a="1"/>
  <c r="G67" i="4" s="1"/>
  <c r="G68" i="4" a="1"/>
  <c r="G68" i="4" s="1"/>
  <c r="G69" i="4" a="1"/>
  <c r="G69" i="4" s="1"/>
  <c r="G70" i="4" a="1"/>
  <c r="G70" i="4" s="1"/>
  <c r="G71" i="4" a="1"/>
  <c r="G71" i="4" s="1"/>
  <c r="G72" i="4" a="1"/>
  <c r="G72" i="4" s="1"/>
  <c r="G73" i="4" a="1"/>
  <c r="G73" i="4" s="1"/>
  <c r="G74" i="4" a="1"/>
  <c r="G74" i="4" s="1"/>
  <c r="G75" i="4" a="1"/>
  <c r="G75" i="4" s="1"/>
  <c r="G76" i="4" a="1"/>
  <c r="G76" i="4" s="1"/>
  <c r="G77" i="4" a="1"/>
  <c r="G77" i="4" s="1"/>
  <c r="G78" i="4" a="1"/>
  <c r="G78" i="4" s="1"/>
  <c r="G79" i="4" a="1"/>
  <c r="G79" i="4" s="1"/>
  <c r="G80" i="4" a="1"/>
  <c r="G80" i="4" s="1"/>
  <c r="G81" i="4" a="1"/>
  <c r="G81" i="4" s="1"/>
  <c r="G82" i="4" a="1"/>
  <c r="G82" i="4" s="1"/>
  <c r="G83" i="4" a="1"/>
  <c r="G83" i="4" s="1"/>
  <c r="G84" i="4" a="1"/>
  <c r="G84" i="4" s="1"/>
  <c r="G85" i="4" a="1"/>
  <c r="G85" i="4" s="1"/>
  <c r="G86" i="4" a="1"/>
  <c r="G86" i="4" s="1"/>
  <c r="G87" i="4" a="1"/>
  <c r="G87" i="4" s="1"/>
  <c r="G88" i="4" a="1"/>
  <c r="G88" i="4" s="1"/>
  <c r="G89" i="4" a="1"/>
  <c r="G89" i="4" s="1"/>
  <c r="G90" i="4" a="1"/>
  <c r="G90" i="4" s="1"/>
  <c r="G91" i="4" a="1"/>
  <c r="G91" i="4" s="1"/>
  <c r="G92" i="4" a="1"/>
  <c r="G92" i="4" s="1"/>
  <c r="G93" i="4" a="1"/>
  <c r="G93" i="4" s="1"/>
  <c r="G94" i="4" a="1"/>
  <c r="G94" i="4" s="1"/>
  <c r="G95" i="4" a="1"/>
  <c r="G95" i="4" s="1"/>
  <c r="G96" i="4" a="1"/>
  <c r="G96" i="4" s="1"/>
  <c r="G97" i="4" a="1"/>
  <c r="G97" i="4" s="1"/>
  <c r="G98" i="4" a="1"/>
  <c r="G98" i="4" s="1"/>
  <c r="G99" i="4" a="1"/>
  <c r="G99" i="4" s="1"/>
  <c r="G100" i="4" a="1"/>
  <c r="G100" i="4" s="1"/>
  <c r="G101" i="4" a="1"/>
  <c r="G101" i="4" s="1"/>
  <c r="G102" i="4" a="1"/>
  <c r="G102" i="4" s="1"/>
  <c r="G103" i="4" a="1"/>
  <c r="G103" i="4" s="1"/>
  <c r="G104" i="4" a="1"/>
  <c r="G104" i="4" s="1"/>
  <c r="G105" i="4" a="1"/>
  <c r="G105" i="4" s="1"/>
  <c r="G106" i="4" a="1"/>
  <c r="G106" i="4" s="1"/>
  <c r="G107" i="4" a="1"/>
  <c r="G107" i="4" s="1"/>
  <c r="G108" i="4" a="1"/>
  <c r="G108" i="4" s="1"/>
  <c r="G109" i="4" a="1"/>
  <c r="G109" i="4" s="1"/>
  <c r="G110" i="4" a="1"/>
  <c r="G110" i="4" s="1"/>
  <c r="G111" i="4" a="1"/>
  <c r="G111" i="4" s="1"/>
  <c r="G112" i="4" a="1"/>
  <c r="G112" i="4" s="1"/>
  <c r="G113" i="4" a="1"/>
  <c r="G113" i="4" s="1"/>
  <c r="G114" i="4" a="1"/>
  <c r="G114" i="4" s="1"/>
  <c r="G115" i="4" a="1"/>
  <c r="G115" i="4" s="1"/>
  <c r="G116" i="4" a="1"/>
  <c r="G116" i="4" s="1"/>
  <c r="G117" i="4" a="1"/>
  <c r="G117" i="4" s="1"/>
  <c r="G118" i="4" a="1"/>
  <c r="G118" i="4" s="1"/>
  <c r="G119" i="4" a="1"/>
  <c r="G119" i="4" s="1"/>
  <c r="G120" i="4" a="1"/>
  <c r="G120" i="4" s="1"/>
  <c r="G121" i="4" a="1"/>
  <c r="G121" i="4" s="1"/>
  <c r="G122" i="4" a="1"/>
  <c r="G122" i="4" s="1"/>
  <c r="G123" i="4" a="1"/>
  <c r="G123" i="4" s="1"/>
  <c r="G124" i="4" a="1"/>
  <c r="G124" i="4" s="1"/>
  <c r="G125" i="4" a="1"/>
  <c r="G125" i="4" s="1"/>
  <c r="G126" i="4" a="1"/>
  <c r="G126" i="4" s="1"/>
  <c r="G127" i="4" a="1"/>
  <c r="G127" i="4" s="1"/>
  <c r="G128" i="4" a="1"/>
  <c r="G128" i="4" s="1"/>
  <c r="G129" i="4" a="1"/>
  <c r="G129" i="4" s="1"/>
  <c r="G130" i="4" a="1"/>
  <c r="G130" i="4" s="1"/>
  <c r="G131" i="4" a="1"/>
  <c r="G131" i="4" s="1"/>
  <c r="G132" i="4" a="1"/>
  <c r="G132" i="4" s="1"/>
  <c r="G133" i="4" a="1"/>
  <c r="G133" i="4" s="1"/>
  <c r="G134" i="4" a="1"/>
  <c r="G134" i="4" s="1"/>
  <c r="G135" i="4" a="1"/>
  <c r="G135" i="4" s="1"/>
  <c r="G136" i="4" a="1"/>
  <c r="G136" i="4" s="1"/>
  <c r="G137" i="4" a="1"/>
  <c r="G137" i="4" s="1"/>
  <c r="G138" i="4" a="1"/>
  <c r="G138" i="4" s="1"/>
  <c r="G139" i="4" a="1"/>
  <c r="G139" i="4" s="1"/>
  <c r="G140" i="4" a="1"/>
  <c r="G140" i="4" s="1"/>
  <c r="G141" i="4" a="1"/>
  <c r="G141" i="4" s="1"/>
  <c r="G142" i="4" a="1"/>
  <c r="G142" i="4" s="1"/>
  <c r="G143" i="4" a="1"/>
  <c r="G143" i="4" s="1"/>
  <c r="G144" i="4" a="1"/>
  <c r="G144" i="4" s="1"/>
  <c r="G145" i="4" a="1"/>
  <c r="G145" i="4" s="1"/>
  <c r="G146" i="4" a="1"/>
  <c r="G146" i="4" s="1"/>
  <c r="F146" i="4" s="1"/>
  <c r="G147" i="4" a="1"/>
  <c r="G147" i="4" s="1"/>
  <c r="G148" i="4" a="1"/>
  <c r="G148" i="4" s="1"/>
  <c r="G149" i="4" a="1"/>
  <c r="G149" i="4" s="1"/>
  <c r="G150" i="4" a="1"/>
  <c r="G150" i="4" s="1"/>
  <c r="G151" i="4" a="1"/>
  <c r="G151" i="4" s="1"/>
  <c r="G152" i="4" a="1"/>
  <c r="G152" i="4" s="1"/>
  <c r="G153" i="4" a="1"/>
  <c r="G153" i="4" s="1"/>
  <c r="G154" i="4" a="1"/>
  <c r="G154" i="4" s="1"/>
  <c r="G155" i="4" a="1"/>
  <c r="G155" i="4" s="1"/>
  <c r="G156" i="4" a="1"/>
  <c r="G156" i="4" s="1"/>
  <c r="G157" i="4" a="1"/>
  <c r="G157" i="4" s="1"/>
  <c r="G158" i="4" a="1"/>
  <c r="G158" i="4" s="1"/>
  <c r="G159" i="4" a="1"/>
  <c r="G159" i="4" s="1"/>
  <c r="G160" i="4" a="1"/>
  <c r="G160" i="4" s="1"/>
  <c r="G161" i="4" a="1"/>
  <c r="G161" i="4" s="1"/>
  <c r="G162" i="4" a="1"/>
  <c r="G162" i="4" s="1"/>
  <c r="G163" i="4" a="1"/>
  <c r="G163" i="4" s="1"/>
  <c r="G164" i="4" a="1"/>
  <c r="G164" i="4" s="1"/>
  <c r="G165" i="4" a="1"/>
  <c r="G165" i="4" s="1"/>
  <c r="G166" i="4" a="1"/>
  <c r="G166" i="4" s="1"/>
  <c r="G167" i="4" a="1"/>
  <c r="G167" i="4" s="1"/>
  <c r="G168" i="4" a="1"/>
  <c r="G168" i="4" s="1"/>
  <c r="G169" i="4" a="1"/>
  <c r="G169" i="4" s="1"/>
  <c r="G170" i="4" a="1"/>
  <c r="G170" i="4" s="1"/>
  <c r="F170" i="4" s="1"/>
  <c r="G171" i="4" a="1"/>
  <c r="G171" i="4" s="1"/>
  <c r="G172" i="4" a="1"/>
  <c r="G172" i="4" s="1"/>
  <c r="G173" i="4" a="1"/>
  <c r="G173" i="4" s="1"/>
  <c r="G174" i="4" a="1"/>
  <c r="G174" i="4" s="1"/>
  <c r="G175" i="4" a="1"/>
  <c r="G175" i="4" s="1"/>
  <c r="G176" i="4" a="1"/>
  <c r="G176" i="4" s="1"/>
  <c r="G177" i="4" a="1"/>
  <c r="G177" i="4" s="1"/>
  <c r="G178" i="4" a="1"/>
  <c r="G178" i="4" s="1"/>
  <c r="G179" i="4" a="1"/>
  <c r="G179" i="4" s="1"/>
  <c r="G180" i="4" a="1"/>
  <c r="G180" i="4" s="1"/>
  <c r="G181" i="4" a="1"/>
  <c r="G181" i="4" s="1"/>
  <c r="G182" i="4" a="1"/>
  <c r="G182" i="4" s="1"/>
  <c r="G183" i="4" a="1"/>
  <c r="G183" i="4" s="1"/>
  <c r="G184" i="4" a="1"/>
  <c r="G184" i="4" s="1"/>
  <c r="G185" i="4" a="1"/>
  <c r="G185" i="4" s="1"/>
  <c r="G186" i="4" a="1"/>
  <c r="G186" i="4" s="1"/>
  <c r="G187" i="4" a="1"/>
  <c r="G187" i="4" s="1"/>
  <c r="G188" i="4" a="1"/>
  <c r="G188" i="4" s="1"/>
  <c r="G189" i="4" a="1"/>
  <c r="G189" i="4" s="1"/>
  <c r="G190" i="4" a="1"/>
  <c r="G190" i="4" s="1"/>
  <c r="G191" i="4" a="1"/>
  <c r="G191" i="4" s="1"/>
  <c r="G192" i="4" a="1"/>
  <c r="G192" i="4" s="1"/>
  <c r="G193" i="4" a="1"/>
  <c r="G193" i="4" s="1"/>
  <c r="G194" i="4" a="1"/>
  <c r="G194" i="4" s="1"/>
  <c r="G195" i="4" a="1"/>
  <c r="G195" i="4" s="1"/>
  <c r="G196" i="4" a="1"/>
  <c r="G196" i="4" s="1"/>
  <c r="G197" i="4" a="1"/>
  <c r="G197" i="4" s="1"/>
  <c r="G198" i="4" a="1"/>
  <c r="G198" i="4" s="1"/>
  <c r="G199" i="4" a="1"/>
  <c r="G199" i="4" s="1"/>
  <c r="G200" i="4" a="1"/>
  <c r="G200" i="4" s="1"/>
  <c r="G13" i="4" a="1"/>
  <c r="G13" i="4" s="1"/>
  <c r="E14" i="4" a="1"/>
  <c r="E14" i="4" s="1"/>
  <c r="E15" i="4" a="1"/>
  <c r="E15" i="4" s="1"/>
  <c r="F15" i="4" s="1"/>
  <c r="E16" i="4" a="1"/>
  <c r="E16" i="4" s="1"/>
  <c r="F16" i="4" s="1"/>
  <c r="E17" i="4" a="1"/>
  <c r="E17" i="4" s="1"/>
  <c r="F17" i="4" s="1"/>
  <c r="E18" i="4" a="1"/>
  <c r="E18" i="4" s="1"/>
  <c r="L18" i="4" s="1" a="1"/>
  <c r="L18" i="4" s="1"/>
  <c r="E19" i="4" a="1"/>
  <c r="E19" i="4" s="1"/>
  <c r="L19" i="4" s="1" a="1"/>
  <c r="L19" i="4" s="1"/>
  <c r="E20" i="4" a="1"/>
  <c r="E20" i="4" s="1"/>
  <c r="F20" i="4" s="1"/>
  <c r="E21" i="4" a="1"/>
  <c r="E21" i="4" s="1"/>
  <c r="E22" i="4" a="1"/>
  <c r="E22" i="4" s="1"/>
  <c r="E23" i="4" a="1"/>
  <c r="E23" i="4" s="1"/>
  <c r="F23" i="4" s="1"/>
  <c r="E24" i="4" a="1"/>
  <c r="E24" i="4" s="1"/>
  <c r="F24" i="4" s="1"/>
  <c r="E25" i="4" a="1"/>
  <c r="E25" i="4" s="1"/>
  <c r="E26" i="4" a="1"/>
  <c r="E26" i="4" s="1"/>
  <c r="E27" i="4" a="1"/>
  <c r="E27" i="4" s="1"/>
  <c r="F27" i="4" s="1"/>
  <c r="E28" i="4" a="1"/>
  <c r="E28" i="4" s="1"/>
  <c r="F28" i="4" s="1"/>
  <c r="E29" i="4" a="1"/>
  <c r="E29" i="4" s="1"/>
  <c r="F29" i="4" s="1"/>
  <c r="E30" i="4" a="1"/>
  <c r="E30" i="4" s="1"/>
  <c r="F30" i="4" s="1"/>
  <c r="E31" i="4" a="1"/>
  <c r="E31" i="4"/>
  <c r="L31" i="4" s="1" a="1"/>
  <c r="L31" i="4" s="1"/>
  <c r="E32" i="4" a="1"/>
  <c r="E32" i="4" s="1"/>
  <c r="F32" i="4" s="1"/>
  <c r="E33" i="4" a="1"/>
  <c r="E33" i="4" s="1"/>
  <c r="E34" i="4" a="1"/>
  <c r="E34" i="4" s="1"/>
  <c r="E35" i="4" a="1"/>
  <c r="E35" i="4" s="1"/>
  <c r="E36" i="4" a="1"/>
  <c r="E36" i="4" s="1"/>
  <c r="E37" i="4" a="1"/>
  <c r="E37" i="4"/>
  <c r="E38" i="4" a="1"/>
  <c r="E38" i="4" s="1"/>
  <c r="D38" i="4" s="1"/>
  <c r="I38" i="4" s="1" a="1"/>
  <c r="I38" i="4" s="1"/>
  <c r="E39" i="4" a="1"/>
  <c r="E39" i="4" s="1"/>
  <c r="F39" i="4" s="1"/>
  <c r="E40" i="4" a="1"/>
  <c r="E40" i="4" s="1"/>
  <c r="F40" i="4" s="1"/>
  <c r="E41" i="4" a="1"/>
  <c r="E41" i="4" s="1"/>
  <c r="E42" i="4" a="1"/>
  <c r="E42" i="4" s="1"/>
  <c r="K42" i="4" s="1" a="1"/>
  <c r="K42" i="4" s="1"/>
  <c r="E43" i="4" a="1"/>
  <c r="E43" i="4"/>
  <c r="L43" i="4" s="1" a="1"/>
  <c r="L43" i="4" s="1"/>
  <c r="E44" i="4" a="1"/>
  <c r="E44" i="4" s="1"/>
  <c r="L44" i="4" s="1" a="1"/>
  <c r="L44" i="4" s="1"/>
  <c r="E45" i="4" a="1"/>
  <c r="E45" i="4" s="1"/>
  <c r="E46" i="4" a="1"/>
  <c r="E46" i="4" s="1"/>
  <c r="E47" i="4" a="1"/>
  <c r="E47" i="4" s="1"/>
  <c r="D47" i="4" s="1"/>
  <c r="I47" i="4" s="1" a="1"/>
  <c r="I47" i="4" s="1"/>
  <c r="E48" i="4" a="1"/>
  <c r="E48" i="4" s="1"/>
  <c r="D48" i="4" s="1"/>
  <c r="I48" i="4" s="1" a="1"/>
  <c r="I48" i="4" s="1"/>
  <c r="D49" i="4"/>
  <c r="I49" i="4" s="1" a="1"/>
  <c r="I49" i="4" s="1"/>
  <c r="E50" i="4" a="1"/>
  <c r="E50" i="4" s="1"/>
  <c r="D50" i="4" s="1"/>
  <c r="I50" i="4" s="1" a="1"/>
  <c r="I50" i="4" s="1"/>
  <c r="E51" i="4" a="1"/>
  <c r="E51" i="4" s="1"/>
  <c r="F51" i="4" s="1"/>
  <c r="F52" i="4"/>
  <c r="E53" i="4" a="1"/>
  <c r="E53" i="4" s="1"/>
  <c r="K53" i="4" s="1" a="1"/>
  <c r="K53" i="4" s="1"/>
  <c r="E54" i="4" a="1"/>
  <c r="E54" i="4" s="1"/>
  <c r="K54" i="4" s="1" a="1"/>
  <c r="K54" i="4" s="1"/>
  <c r="E55" i="4" a="1"/>
  <c r="E55" i="4" s="1"/>
  <c r="L55" i="4" s="1" a="1"/>
  <c r="L55" i="4" s="1"/>
  <c r="E56" i="4" a="1"/>
  <c r="E56" i="4" s="1"/>
  <c r="L56" i="4" s="1" a="1"/>
  <c r="L56" i="4" s="1"/>
  <c r="E57" i="4" a="1"/>
  <c r="E57" i="4" s="1"/>
  <c r="E58" i="4" a="1"/>
  <c r="E58" i="4" s="1"/>
  <c r="E59" i="4" a="1"/>
  <c r="E59" i="4" s="1"/>
  <c r="D59" i="4" s="1"/>
  <c r="I59" i="4" s="1" a="1"/>
  <c r="I59" i="4" s="1"/>
  <c r="E60" i="4" a="1"/>
  <c r="E60" i="4" s="1"/>
  <c r="D60" i="4" s="1"/>
  <c r="I60" i="4" s="1" a="1"/>
  <c r="I60" i="4" s="1"/>
  <c r="E61" i="4" a="1"/>
  <c r="E61" i="4" s="1"/>
  <c r="E62" i="4" a="1"/>
  <c r="E62" i="4" s="1"/>
  <c r="D62" i="4" s="1"/>
  <c r="I62" i="4" s="1" a="1"/>
  <c r="I62" i="4" s="1"/>
  <c r="E63" i="4" a="1"/>
  <c r="E63" i="4" s="1"/>
  <c r="F63" i="4" s="1"/>
  <c r="E64" i="4" a="1"/>
  <c r="E64" i="4" s="1"/>
  <c r="F64" i="4" s="1"/>
  <c r="E65" i="4" a="1"/>
  <c r="E65" i="4" s="1"/>
  <c r="K65" i="4" s="1" a="1"/>
  <c r="K65" i="4" s="1"/>
  <c r="E66" i="4" a="1"/>
  <c r="E66" i="4" s="1"/>
  <c r="K66" i="4" s="1" a="1"/>
  <c r="K66" i="4" s="1"/>
  <c r="E67" i="4" a="1"/>
  <c r="E67" i="4" s="1"/>
  <c r="E68" i="4" a="1"/>
  <c r="E68" i="4" s="1"/>
  <c r="L68" i="4" s="1" a="1"/>
  <c r="L68" i="4" s="1"/>
  <c r="E69" i="4" a="1"/>
  <c r="E69" i="4" s="1"/>
  <c r="E70" i="4" a="1"/>
  <c r="E70" i="4" s="1"/>
  <c r="E71" i="4" a="1"/>
  <c r="E71" i="4" s="1"/>
  <c r="D71" i="4" s="1"/>
  <c r="I71" i="4" s="1" a="1"/>
  <c r="I71" i="4" s="1"/>
  <c r="E72" i="4" a="1"/>
  <c r="E72" i="4" s="1"/>
  <c r="D72" i="4" s="1"/>
  <c r="I72" i="4" s="1" a="1"/>
  <c r="I72" i="4" s="1"/>
  <c r="E73" i="4" a="1"/>
  <c r="E73" i="4" s="1"/>
  <c r="E74" i="4" a="1"/>
  <c r="E74" i="4" s="1"/>
  <c r="D74" i="4" s="1"/>
  <c r="I74" i="4" s="1" a="1"/>
  <c r="I74" i="4" s="1"/>
  <c r="E75" i="4" a="1"/>
  <c r="E75" i="4" s="1"/>
  <c r="F75" i="4" s="1"/>
  <c r="E76" i="4" a="1"/>
  <c r="E76" i="4" s="1"/>
  <c r="F76" i="4" s="1"/>
  <c r="E77" i="4" a="1"/>
  <c r="E77" i="4" s="1"/>
  <c r="K77" i="4" s="1" a="1"/>
  <c r="K77" i="4" s="1"/>
  <c r="E78" i="4" a="1"/>
  <c r="E78" i="4" s="1"/>
  <c r="K78" i="4" s="1" a="1"/>
  <c r="K78" i="4" s="1"/>
  <c r="E79" i="4" a="1"/>
  <c r="E79" i="4" s="1"/>
  <c r="E80" i="4" a="1"/>
  <c r="E80" i="4" s="1"/>
  <c r="L80" i="4" s="1" a="1"/>
  <c r="L80" i="4" s="1"/>
  <c r="E81" i="4" a="1"/>
  <c r="E81" i="4" s="1"/>
  <c r="E82" i="4" a="1"/>
  <c r="E82" i="4" s="1"/>
  <c r="E83" i="4" a="1"/>
  <c r="E83" i="4" s="1"/>
  <c r="D83" i="4" s="1"/>
  <c r="I83" i="4" s="1" a="1"/>
  <c r="I83" i="4" s="1"/>
  <c r="E84" i="4" a="1"/>
  <c r="E84" i="4" s="1"/>
  <c r="D84" i="4" s="1"/>
  <c r="I84" i="4" s="1" a="1"/>
  <c r="I84" i="4" s="1"/>
  <c r="E85" i="4" a="1"/>
  <c r="E85" i="4" s="1"/>
  <c r="E86" i="4" a="1"/>
  <c r="E86" i="4" s="1"/>
  <c r="D86" i="4" s="1"/>
  <c r="I86" i="4" s="1" a="1"/>
  <c r="I86" i="4" s="1"/>
  <c r="E87" i="4" a="1"/>
  <c r="E87" i="4" s="1"/>
  <c r="F87" i="4" s="1"/>
  <c r="E88" i="4" a="1"/>
  <c r="E88" i="4" s="1"/>
  <c r="F88" i="4" s="1"/>
  <c r="E89" i="4" a="1"/>
  <c r="E89" i="4" s="1"/>
  <c r="K89" i="4" s="1" a="1"/>
  <c r="K89" i="4" s="1"/>
  <c r="E90" i="4" a="1"/>
  <c r="E90" i="4" s="1"/>
  <c r="K90" i="4" s="1" a="1"/>
  <c r="K90" i="4" s="1"/>
  <c r="E91" i="4" a="1"/>
  <c r="E91" i="4"/>
  <c r="L91" i="4" s="1" a="1"/>
  <c r="L91" i="4" s="1"/>
  <c r="E92" i="4" a="1"/>
  <c r="E92" i="4" s="1"/>
  <c r="L92" i="4" s="1" a="1"/>
  <c r="L92" i="4" s="1"/>
  <c r="E93" i="4" a="1"/>
  <c r="E93" i="4" s="1"/>
  <c r="E94" i="4" a="1"/>
  <c r="E94" i="4" s="1"/>
  <c r="E95" i="4" a="1"/>
  <c r="E95" i="4" s="1"/>
  <c r="D95" i="4" s="1"/>
  <c r="I95" i="4" s="1" a="1"/>
  <c r="I95" i="4" s="1"/>
  <c r="E96" i="4" a="1"/>
  <c r="E96" i="4" s="1"/>
  <c r="D96" i="4" s="1"/>
  <c r="I96" i="4" s="1" a="1"/>
  <c r="I96" i="4" s="1"/>
  <c r="E97" i="4" a="1"/>
  <c r="E97" i="4" s="1"/>
  <c r="E98" i="4" a="1"/>
  <c r="E98" i="4" s="1"/>
  <c r="D98" i="4" s="1"/>
  <c r="I98" i="4" s="1" a="1"/>
  <c r="I98" i="4" s="1"/>
  <c r="E99" i="4" a="1"/>
  <c r="E99" i="4" s="1"/>
  <c r="F99" i="4" s="1"/>
  <c r="E100" i="4" a="1"/>
  <c r="E100" i="4" s="1"/>
  <c r="F100" i="4" s="1"/>
  <c r="E101" i="4" a="1"/>
  <c r="E101" i="4" s="1"/>
  <c r="E102" i="4" a="1"/>
  <c r="E102" i="4" s="1"/>
  <c r="K102" i="4" s="1" a="1"/>
  <c r="K102" i="4" s="1"/>
  <c r="E103" i="4" a="1"/>
  <c r="E103" i="4"/>
  <c r="L103" i="4" s="1" a="1"/>
  <c r="L103" i="4" s="1"/>
  <c r="E104" i="4" a="1"/>
  <c r="E104" i="4" s="1"/>
  <c r="L104" i="4" s="1" a="1"/>
  <c r="L104" i="4" s="1"/>
  <c r="E105" i="4" a="1"/>
  <c r="E105" i="4" s="1"/>
  <c r="L105" i="4" s="1" a="1"/>
  <c r="L105" i="4" s="1"/>
  <c r="E106" i="4" a="1"/>
  <c r="E106" i="4" s="1"/>
  <c r="L106" i="4" s="1" a="1"/>
  <c r="L106" i="4" s="1"/>
  <c r="E107" i="4" a="1"/>
  <c r="E107" i="4" s="1"/>
  <c r="D107" i="4" s="1"/>
  <c r="I107" i="4" s="1" a="1"/>
  <c r="I107" i="4" s="1"/>
  <c r="E108" i="4" a="1"/>
  <c r="E108" i="4" s="1"/>
  <c r="D108" i="4" s="1"/>
  <c r="I108" i="4" s="1" a="1"/>
  <c r="I108" i="4" s="1"/>
  <c r="E109" i="4" a="1"/>
  <c r="E109" i="4" s="1"/>
  <c r="D109" i="4" s="1"/>
  <c r="I109" i="4" s="1" a="1"/>
  <c r="I109" i="4" s="1"/>
  <c r="E110" i="4" a="1"/>
  <c r="E110" i="4" s="1"/>
  <c r="D110" i="4" s="1"/>
  <c r="I110" i="4" s="1" a="1"/>
  <c r="I110" i="4" s="1"/>
  <c r="E111" i="4" a="1"/>
  <c r="E111" i="4" s="1"/>
  <c r="F111" i="4" s="1"/>
  <c r="E112" i="4" a="1"/>
  <c r="E112" i="4" s="1"/>
  <c r="F112" i="4" s="1"/>
  <c r="E113" i="4" a="1"/>
  <c r="E113" i="4" s="1"/>
  <c r="E114" i="4" a="1"/>
  <c r="E114" i="4" s="1"/>
  <c r="K114" i="4" s="1" a="1"/>
  <c r="K114" i="4" s="1"/>
  <c r="E115" i="4" a="1"/>
  <c r="E115" i="4"/>
  <c r="L115" i="4" s="1" a="1"/>
  <c r="L115" i="4" s="1"/>
  <c r="E116" i="4" a="1"/>
  <c r="E116" i="4" s="1"/>
  <c r="L116" i="4" s="1" a="1"/>
  <c r="L116" i="4" s="1"/>
  <c r="E117" i="4" a="1"/>
  <c r="E117" i="4" s="1"/>
  <c r="E118" i="4" a="1"/>
  <c r="E118" i="4" s="1"/>
  <c r="E119" i="4" a="1"/>
  <c r="E119" i="4" s="1"/>
  <c r="D119" i="4" s="1"/>
  <c r="I119" i="4" s="1" a="1"/>
  <c r="I119" i="4" s="1"/>
  <c r="E120" i="4" a="1"/>
  <c r="E120" i="4" s="1"/>
  <c r="D120" i="4" s="1"/>
  <c r="I120" i="4" s="1" a="1"/>
  <c r="I120" i="4" s="1"/>
  <c r="E121" i="4" a="1"/>
  <c r="E121" i="4" s="1"/>
  <c r="D121" i="4" s="1"/>
  <c r="I121" i="4" s="1" a="1"/>
  <c r="I121" i="4" s="1"/>
  <c r="E122" i="4" a="1"/>
  <c r="E122" i="4" s="1"/>
  <c r="D122" i="4" s="1"/>
  <c r="I122" i="4" s="1" a="1"/>
  <c r="I122" i="4" s="1"/>
  <c r="E123" i="4" a="1"/>
  <c r="E123" i="4" s="1"/>
  <c r="F123" i="4" s="1"/>
  <c r="E124" i="4" a="1"/>
  <c r="E124" i="4" s="1"/>
  <c r="F124" i="4" s="1"/>
  <c r="E125" i="4" a="1"/>
  <c r="E125" i="4" s="1"/>
  <c r="K125" i="4" s="1" a="1"/>
  <c r="K125" i="4" s="1"/>
  <c r="E126" i="4" a="1"/>
  <c r="E126" i="4" s="1"/>
  <c r="K126" i="4" s="1" a="1"/>
  <c r="K126" i="4" s="1"/>
  <c r="E127" i="4" a="1"/>
  <c r="E127" i="4" s="1"/>
  <c r="L127" i="4" s="1" a="1"/>
  <c r="L127" i="4" s="1"/>
  <c r="E128" i="4" a="1"/>
  <c r="E128" i="4" s="1"/>
  <c r="L128" i="4" s="1" a="1"/>
  <c r="L128" i="4" s="1"/>
  <c r="E129" i="4" a="1"/>
  <c r="E129" i="4" s="1"/>
  <c r="L129" i="4" s="1" a="1"/>
  <c r="L129" i="4" s="1"/>
  <c r="E130" i="4" a="1"/>
  <c r="E130" i="4" s="1"/>
  <c r="E131" i="4" a="1"/>
  <c r="E131" i="4" s="1"/>
  <c r="D131" i="4" s="1"/>
  <c r="I131" i="4" s="1" a="1"/>
  <c r="I131" i="4" s="1"/>
  <c r="E132" i="4" a="1"/>
  <c r="E132" i="4" s="1"/>
  <c r="D132" i="4" s="1"/>
  <c r="I132" i="4" s="1" a="1"/>
  <c r="I132" i="4" s="1"/>
  <c r="E133" i="4" a="1"/>
  <c r="E133" i="4" s="1"/>
  <c r="E134" i="4" a="1"/>
  <c r="E134" i="4" s="1"/>
  <c r="D134" i="4" s="1"/>
  <c r="I134" i="4" s="1" a="1"/>
  <c r="I134" i="4" s="1"/>
  <c r="E135" i="4" a="1"/>
  <c r="E135" i="4" s="1"/>
  <c r="F135" i="4" s="1"/>
  <c r="E136" i="4" a="1"/>
  <c r="E136" i="4" s="1"/>
  <c r="F136" i="4" s="1"/>
  <c r="E137" i="4" a="1"/>
  <c r="E137" i="4" s="1"/>
  <c r="K137" i="4" s="1" a="1"/>
  <c r="K137" i="4" s="1"/>
  <c r="E138" i="4" a="1"/>
  <c r="E138" i="4" s="1"/>
  <c r="K138" i="4" s="1" a="1"/>
  <c r="K138" i="4" s="1"/>
  <c r="E139" i="4" a="1"/>
  <c r="E139" i="4" s="1"/>
  <c r="E140" i="4" a="1"/>
  <c r="E140" i="4" s="1"/>
  <c r="L140" i="4" s="1" a="1"/>
  <c r="L140" i="4" s="1"/>
  <c r="E141" i="4" a="1"/>
  <c r="E141" i="4" s="1"/>
  <c r="L141" i="4" s="1" a="1"/>
  <c r="L141" i="4" s="1"/>
  <c r="E142" i="4" a="1"/>
  <c r="E142" i="4" s="1"/>
  <c r="D142" i="4" s="1"/>
  <c r="I142" i="4" s="1" a="1"/>
  <c r="I142" i="4" s="1"/>
  <c r="E143" i="4" a="1"/>
  <c r="E143" i="4" s="1"/>
  <c r="D143" i="4" s="1"/>
  <c r="I143" i="4" s="1" a="1"/>
  <c r="I143" i="4" s="1"/>
  <c r="E144" i="4" a="1"/>
  <c r="E144" i="4" s="1"/>
  <c r="D144" i="4" s="1"/>
  <c r="I144" i="4" s="1" a="1"/>
  <c r="I144" i="4" s="1"/>
  <c r="E145" i="4" a="1"/>
  <c r="E145" i="4" s="1"/>
  <c r="E146" i="4" a="1"/>
  <c r="E146" i="4" s="1"/>
  <c r="D146" i="4" s="1"/>
  <c r="I146" i="4" s="1" a="1"/>
  <c r="I146" i="4" s="1"/>
  <c r="E147" i="4" a="1"/>
  <c r="E147" i="4" s="1"/>
  <c r="F147" i="4" s="1"/>
  <c r="E148" i="4" a="1"/>
  <c r="E148" i="4" s="1"/>
  <c r="F148" i="4" s="1"/>
  <c r="E149" i="4" a="1"/>
  <c r="E149" i="4" s="1"/>
  <c r="K149" i="4" s="1" a="1"/>
  <c r="K149" i="4" s="1"/>
  <c r="E150" i="4" a="1"/>
  <c r="E150" i="4" s="1"/>
  <c r="K150" i="4" s="1" a="1"/>
  <c r="K150" i="4" s="1"/>
  <c r="E151" i="4" a="1"/>
  <c r="E151" i="4" s="1"/>
  <c r="E152" i="4" a="1"/>
  <c r="E152" i="4" s="1"/>
  <c r="L152" i="4" s="1" a="1"/>
  <c r="L152" i="4" s="1"/>
  <c r="E153" i="4" a="1"/>
  <c r="E153" i="4" s="1"/>
  <c r="L153" i="4" s="1" a="1"/>
  <c r="L153" i="4" s="1"/>
  <c r="E154" i="4" a="1"/>
  <c r="E154" i="4" s="1"/>
  <c r="D154" i="4" s="1"/>
  <c r="I154" i="4" s="1" a="1"/>
  <c r="I154" i="4" s="1"/>
  <c r="E155" i="4" a="1"/>
  <c r="E155" i="4" s="1"/>
  <c r="D155" i="4" s="1"/>
  <c r="I155" i="4" s="1" a="1"/>
  <c r="I155" i="4" s="1"/>
  <c r="E156" i="4" a="1"/>
  <c r="E156" i="4" s="1"/>
  <c r="D156" i="4" s="1"/>
  <c r="I156" i="4" s="1" a="1"/>
  <c r="I156" i="4" s="1"/>
  <c r="E157" i="4" a="1"/>
  <c r="E157" i="4" s="1"/>
  <c r="E158" i="4" a="1"/>
  <c r="E158" i="4" s="1"/>
  <c r="D158" i="4" s="1"/>
  <c r="I158" i="4" s="1" a="1"/>
  <c r="I158" i="4" s="1"/>
  <c r="E159" i="4" a="1"/>
  <c r="E159" i="4" s="1"/>
  <c r="F159" i="4" s="1"/>
  <c r="E160" i="4" a="1"/>
  <c r="E160" i="4" s="1"/>
  <c r="F160" i="4" s="1"/>
  <c r="E161" i="4" a="1"/>
  <c r="E161" i="4" s="1"/>
  <c r="E162" i="4" a="1"/>
  <c r="E162" i="4" s="1"/>
  <c r="K162" i="4" s="1" a="1"/>
  <c r="K162" i="4" s="1"/>
  <c r="E163" i="4" a="1"/>
  <c r="E163" i="4"/>
  <c r="L163" i="4" s="1" a="1"/>
  <c r="L163" i="4" s="1"/>
  <c r="E164" i="4" a="1"/>
  <c r="E164" i="4" s="1"/>
  <c r="L164" i="4" s="1" a="1"/>
  <c r="L164" i="4" s="1"/>
  <c r="E165" i="4" a="1"/>
  <c r="E165" i="4" s="1"/>
  <c r="E166" i="4" a="1"/>
  <c r="E166" i="4" s="1"/>
  <c r="D166" i="4" s="1"/>
  <c r="I166" i="4" s="1" a="1"/>
  <c r="I166" i="4" s="1"/>
  <c r="E167" i="4" a="1"/>
  <c r="E167" i="4" s="1"/>
  <c r="D167" i="4" s="1"/>
  <c r="I167" i="4" s="1" a="1"/>
  <c r="I167" i="4" s="1"/>
  <c r="E168" i="4" a="1"/>
  <c r="E168" i="4" s="1"/>
  <c r="D168" i="4" s="1"/>
  <c r="I168" i="4" s="1" a="1"/>
  <c r="I168" i="4" s="1"/>
  <c r="E169" i="4" a="1"/>
  <c r="E169" i="4" s="1"/>
  <c r="E170" i="4" a="1"/>
  <c r="E170" i="4" s="1"/>
  <c r="D170" i="4" s="1"/>
  <c r="I170" i="4" s="1" a="1"/>
  <c r="I170" i="4" s="1"/>
  <c r="E171" i="4" a="1"/>
  <c r="E171" i="4" s="1"/>
  <c r="F171" i="4" s="1"/>
  <c r="E172" i="4" a="1"/>
  <c r="E172" i="4" s="1"/>
  <c r="F172" i="4" s="1"/>
  <c r="E173" i="4" a="1"/>
  <c r="E173" i="4" s="1"/>
  <c r="F173" i="4" s="1"/>
  <c r="E174" i="4" a="1"/>
  <c r="E174" i="4" s="1"/>
  <c r="K174" i="4" s="1" a="1"/>
  <c r="K174" i="4" s="1"/>
  <c r="E175" i="4" a="1"/>
  <c r="E175" i="4"/>
  <c r="L175" i="4" s="1" a="1"/>
  <c r="L175" i="4" s="1"/>
  <c r="E176" i="4" a="1"/>
  <c r="E176" i="4" s="1"/>
  <c r="L176" i="4" s="1" a="1"/>
  <c r="L176" i="4" s="1"/>
  <c r="E177" i="4" a="1"/>
  <c r="E177" i="4" s="1"/>
  <c r="E178" i="4" a="1"/>
  <c r="E178" i="4" s="1"/>
  <c r="D178" i="4" s="1"/>
  <c r="I178" i="4" s="1" a="1"/>
  <c r="I178" i="4" s="1"/>
  <c r="E179" i="4" a="1"/>
  <c r="E179" i="4" s="1"/>
  <c r="D179" i="4" s="1"/>
  <c r="I179" i="4" s="1" a="1"/>
  <c r="I179" i="4" s="1"/>
  <c r="E180" i="4" a="1"/>
  <c r="E180" i="4" s="1"/>
  <c r="D180" i="4" s="1"/>
  <c r="I180" i="4" s="1" a="1"/>
  <c r="I180" i="4" s="1"/>
  <c r="E181" i="4" a="1"/>
  <c r="E181" i="4"/>
  <c r="E182" i="4" a="1"/>
  <c r="E182" i="4" s="1"/>
  <c r="D182" i="4" s="1"/>
  <c r="I182" i="4" s="1" a="1"/>
  <c r="I182" i="4" s="1"/>
  <c r="E183" i="4" a="1"/>
  <c r="E183" i="4" s="1"/>
  <c r="F183" i="4" s="1"/>
  <c r="E184" i="4" a="1"/>
  <c r="E184" i="4" s="1"/>
  <c r="F184" i="4" s="1"/>
  <c r="E185" i="4" a="1"/>
  <c r="E185" i="4" s="1"/>
  <c r="E186" i="4" a="1"/>
  <c r="E186" i="4" s="1"/>
  <c r="K186" i="4" s="1" a="1"/>
  <c r="K186" i="4" s="1"/>
  <c r="E187" i="4" a="1"/>
  <c r="E187" i="4"/>
  <c r="L187" i="4" s="1" a="1"/>
  <c r="L187" i="4" s="1"/>
  <c r="E188" i="4" a="1"/>
  <c r="E188" i="4" s="1"/>
  <c r="L188" i="4" s="1" a="1"/>
  <c r="L188" i="4" s="1"/>
  <c r="E189" i="4" a="1"/>
  <c r="E189" i="4" s="1"/>
  <c r="E190" i="4" a="1"/>
  <c r="E190" i="4" s="1"/>
  <c r="D190" i="4" s="1"/>
  <c r="I190" i="4" s="1" a="1"/>
  <c r="I190" i="4" s="1"/>
  <c r="E191" i="4" a="1"/>
  <c r="E191" i="4" s="1"/>
  <c r="D191" i="4" s="1"/>
  <c r="I191" i="4" s="1" a="1"/>
  <c r="I191" i="4" s="1"/>
  <c r="E192" i="4" a="1"/>
  <c r="E192" i="4" s="1"/>
  <c r="D192" i="4" s="1"/>
  <c r="I192" i="4" s="1" a="1"/>
  <c r="I192" i="4" s="1"/>
  <c r="E193" i="4" a="1"/>
  <c r="E193" i="4"/>
  <c r="D193" i="4" s="1"/>
  <c r="I193" i="4" s="1" a="1"/>
  <c r="I193" i="4" s="1"/>
  <c r="E194" i="4" a="1"/>
  <c r="E194" i="4" s="1"/>
  <c r="D194" i="4" s="1"/>
  <c r="I194" i="4" s="1" a="1"/>
  <c r="I194" i="4" s="1"/>
  <c r="E195" i="4" a="1"/>
  <c r="E195" i="4" s="1"/>
  <c r="F195" i="4" s="1"/>
  <c r="E196" i="4" a="1"/>
  <c r="E196" i="4" s="1"/>
  <c r="F196" i="4" s="1"/>
  <c r="E197" i="4" a="1"/>
  <c r="E197" i="4" s="1"/>
  <c r="K197" i="4" s="1" a="1"/>
  <c r="K197" i="4" s="1"/>
  <c r="E198" i="4" a="1"/>
  <c r="E198" i="4" s="1"/>
  <c r="K198" i="4" s="1" a="1"/>
  <c r="K198" i="4" s="1"/>
  <c r="E199" i="4" a="1"/>
  <c r="E199" i="4" s="1"/>
  <c r="L199" i="4" s="1" a="1"/>
  <c r="L199" i="4" s="1"/>
  <c r="E200" i="4" a="1"/>
  <c r="E200" i="4" s="1"/>
  <c r="L200" i="4" s="1" a="1"/>
  <c r="L200" i="4" s="1"/>
  <c r="E13" i="4" a="1"/>
  <c r="E13" i="4" s="1"/>
  <c r="J14" i="4" a="1"/>
  <c r="J14" i="4" s="1"/>
  <c r="J15" i="4" a="1"/>
  <c r="J15" i="4" s="1"/>
  <c r="J16" i="4" a="1"/>
  <c r="J16" i="4" s="1"/>
  <c r="J17" i="4" a="1"/>
  <c r="J17" i="4" s="1"/>
  <c r="J18" i="4" a="1"/>
  <c r="J18" i="4" s="1"/>
  <c r="J19" i="4" a="1"/>
  <c r="J19" i="4" s="1"/>
  <c r="J20" i="4" a="1"/>
  <c r="J20" i="4" s="1"/>
  <c r="J21" i="4" a="1"/>
  <c r="J21" i="4" s="1"/>
  <c r="J22" i="4" a="1"/>
  <c r="J22" i="4" s="1"/>
  <c r="J23" i="4" a="1"/>
  <c r="J23" i="4" s="1"/>
  <c r="J24" i="4" a="1"/>
  <c r="J24" i="4" s="1"/>
  <c r="J25" i="4" a="1"/>
  <c r="J25" i="4" s="1"/>
  <c r="J26" i="4" a="1"/>
  <c r="J26" i="4" s="1"/>
  <c r="J27" i="4" a="1"/>
  <c r="J27" i="4" s="1"/>
  <c r="J28" i="4" a="1"/>
  <c r="J28" i="4" s="1"/>
  <c r="J29" i="4" a="1"/>
  <c r="J29" i="4" s="1"/>
  <c r="J30" i="4" a="1"/>
  <c r="J30" i="4" s="1"/>
  <c r="J31" i="4" a="1"/>
  <c r="J31" i="4" s="1"/>
  <c r="J32" i="4" a="1"/>
  <c r="J32" i="4" s="1"/>
  <c r="J33" i="4" a="1"/>
  <c r="J33" i="4" s="1"/>
  <c r="J34" i="4" a="1"/>
  <c r="J34" i="4" s="1"/>
  <c r="J35" i="4" a="1"/>
  <c r="J35" i="4" s="1"/>
  <c r="J36" i="4" a="1"/>
  <c r="J36" i="4" s="1"/>
  <c r="J37" i="4" a="1"/>
  <c r="J37" i="4" s="1"/>
  <c r="J38" i="4" a="1"/>
  <c r="J38" i="4" s="1"/>
  <c r="J39" i="4" a="1"/>
  <c r="J39" i="4" s="1"/>
  <c r="J40" i="4" a="1"/>
  <c r="J40" i="4" s="1"/>
  <c r="J41" i="4" a="1"/>
  <c r="J41" i="4" s="1"/>
  <c r="J42" i="4" a="1"/>
  <c r="J42" i="4" s="1"/>
  <c r="J43" i="4" a="1"/>
  <c r="J43" i="4" s="1"/>
  <c r="J44" i="4" a="1"/>
  <c r="J44" i="4" s="1"/>
  <c r="J45" i="4" a="1"/>
  <c r="J45" i="4" s="1"/>
  <c r="J46" i="4" a="1"/>
  <c r="J46" i="4" s="1"/>
  <c r="J47" i="4" a="1"/>
  <c r="J47" i="4" s="1"/>
  <c r="J48" i="4" a="1"/>
  <c r="J48" i="4" s="1"/>
  <c r="J49" i="4" a="1"/>
  <c r="J49" i="4" s="1"/>
  <c r="J50" i="4" a="1"/>
  <c r="J50" i="4" s="1"/>
  <c r="J51" i="4" a="1"/>
  <c r="J51" i="4" s="1"/>
  <c r="J52" i="4" a="1"/>
  <c r="J52" i="4" s="1"/>
  <c r="J53" i="4" a="1"/>
  <c r="J53" i="4" s="1"/>
  <c r="J54" i="4" a="1"/>
  <c r="J54" i="4" s="1"/>
  <c r="J55" i="4" a="1"/>
  <c r="J55" i="4" s="1"/>
  <c r="J56" i="4" a="1"/>
  <c r="J56" i="4" s="1"/>
  <c r="J57" i="4" a="1"/>
  <c r="J57" i="4" s="1"/>
  <c r="J58" i="4" a="1"/>
  <c r="J58" i="4" s="1"/>
  <c r="J59" i="4" a="1"/>
  <c r="J59" i="4" s="1"/>
  <c r="J60" i="4" a="1"/>
  <c r="J60" i="4" s="1"/>
  <c r="J61" i="4" a="1"/>
  <c r="J61" i="4" s="1"/>
  <c r="J62" i="4" a="1"/>
  <c r="J62" i="4" s="1"/>
  <c r="J63" i="4" a="1"/>
  <c r="J63" i="4" s="1"/>
  <c r="J64" i="4" a="1"/>
  <c r="J64" i="4" s="1"/>
  <c r="J65" i="4" a="1"/>
  <c r="J65" i="4" s="1"/>
  <c r="J66" i="4" a="1"/>
  <c r="J66" i="4" s="1"/>
  <c r="J67" i="4" a="1"/>
  <c r="J67" i="4" s="1"/>
  <c r="J68" i="4" a="1"/>
  <c r="J68" i="4" s="1"/>
  <c r="J69" i="4" a="1"/>
  <c r="J69" i="4" s="1"/>
  <c r="J70" i="4" a="1"/>
  <c r="J70" i="4" s="1"/>
  <c r="J71" i="4" a="1"/>
  <c r="J71" i="4" s="1"/>
  <c r="J72" i="4" a="1"/>
  <c r="J72" i="4" s="1"/>
  <c r="J73" i="4" a="1"/>
  <c r="J73" i="4" s="1"/>
  <c r="J74" i="4" a="1"/>
  <c r="J74" i="4" s="1"/>
  <c r="J75" i="4" a="1"/>
  <c r="J75" i="4" s="1"/>
  <c r="J76" i="4" a="1"/>
  <c r="J76" i="4" s="1"/>
  <c r="J77" i="4" a="1"/>
  <c r="J77" i="4" s="1"/>
  <c r="J78" i="4" a="1"/>
  <c r="J78" i="4" s="1"/>
  <c r="J79" i="4" a="1"/>
  <c r="J79" i="4" s="1"/>
  <c r="J80" i="4" a="1"/>
  <c r="J80" i="4" s="1"/>
  <c r="J81" i="4" a="1"/>
  <c r="J81" i="4" s="1"/>
  <c r="J82" i="4" a="1"/>
  <c r="J82" i="4" s="1"/>
  <c r="J83" i="4" a="1"/>
  <c r="J83" i="4" s="1"/>
  <c r="J84" i="4" a="1"/>
  <c r="J84" i="4" s="1"/>
  <c r="J85" i="4" a="1"/>
  <c r="J85" i="4" s="1"/>
  <c r="J86" i="4" a="1"/>
  <c r="J86" i="4" s="1"/>
  <c r="J87" i="4" a="1"/>
  <c r="J87" i="4" s="1"/>
  <c r="J88" i="4" a="1"/>
  <c r="J88" i="4" s="1"/>
  <c r="J89" i="4" a="1"/>
  <c r="J89" i="4" s="1"/>
  <c r="J90" i="4" a="1"/>
  <c r="J90" i="4" s="1"/>
  <c r="J91" i="4" a="1"/>
  <c r="J91" i="4" s="1"/>
  <c r="J92" i="4" a="1"/>
  <c r="J92" i="4" s="1"/>
  <c r="J93" i="4" a="1"/>
  <c r="J93" i="4" s="1"/>
  <c r="J94" i="4" a="1"/>
  <c r="J94" i="4" s="1"/>
  <c r="J95" i="4" a="1"/>
  <c r="J95" i="4" s="1"/>
  <c r="J96" i="4" a="1"/>
  <c r="J96" i="4" s="1"/>
  <c r="J97" i="4" a="1"/>
  <c r="J97" i="4" s="1"/>
  <c r="J98" i="4" a="1"/>
  <c r="J98" i="4" s="1"/>
  <c r="J99" i="4" a="1"/>
  <c r="J99" i="4" s="1"/>
  <c r="J100" i="4" a="1"/>
  <c r="J100" i="4" s="1"/>
  <c r="J101" i="4" a="1"/>
  <c r="J101" i="4" s="1"/>
  <c r="J102" i="4" a="1"/>
  <c r="J102" i="4" s="1"/>
  <c r="J103" i="4" a="1"/>
  <c r="J103" i="4" s="1"/>
  <c r="J104" i="4" a="1"/>
  <c r="J104" i="4" s="1"/>
  <c r="J105" i="4" a="1"/>
  <c r="J105" i="4" s="1"/>
  <c r="J106" i="4" a="1"/>
  <c r="J106" i="4" s="1"/>
  <c r="J107" i="4" a="1"/>
  <c r="J107" i="4" s="1"/>
  <c r="J108" i="4" a="1"/>
  <c r="J108" i="4" s="1"/>
  <c r="J109" i="4" a="1"/>
  <c r="J109" i="4" s="1"/>
  <c r="J110" i="4" a="1"/>
  <c r="J110" i="4" s="1"/>
  <c r="J111" i="4" a="1"/>
  <c r="J111" i="4" s="1"/>
  <c r="J112" i="4" a="1"/>
  <c r="J112" i="4" s="1"/>
  <c r="J113" i="4" a="1"/>
  <c r="J113" i="4" s="1"/>
  <c r="J114" i="4" a="1"/>
  <c r="J114" i="4" s="1"/>
  <c r="J115" i="4" a="1"/>
  <c r="J115" i="4" s="1"/>
  <c r="J116" i="4" a="1"/>
  <c r="J116" i="4" s="1"/>
  <c r="J117" i="4" a="1"/>
  <c r="J117" i="4" s="1"/>
  <c r="J118" i="4" a="1"/>
  <c r="J118" i="4" s="1"/>
  <c r="J119" i="4" a="1"/>
  <c r="J119" i="4" s="1"/>
  <c r="J120" i="4" a="1"/>
  <c r="J120" i="4" s="1"/>
  <c r="J121" i="4" a="1"/>
  <c r="J121" i="4" s="1"/>
  <c r="J122" i="4" a="1"/>
  <c r="J122" i="4" s="1"/>
  <c r="J123" i="4" a="1"/>
  <c r="J123" i="4" s="1"/>
  <c r="J124" i="4" a="1"/>
  <c r="J124" i="4" s="1"/>
  <c r="J125" i="4" a="1"/>
  <c r="J125" i="4" s="1"/>
  <c r="J126" i="4" a="1"/>
  <c r="J126" i="4" s="1"/>
  <c r="J127" i="4" a="1"/>
  <c r="J127" i="4" s="1"/>
  <c r="J128" i="4" a="1"/>
  <c r="J128" i="4" s="1"/>
  <c r="J129" i="4" a="1"/>
  <c r="J129" i="4" s="1"/>
  <c r="J130" i="4" a="1"/>
  <c r="J130" i="4" s="1"/>
  <c r="J131" i="4" a="1"/>
  <c r="J131" i="4" s="1"/>
  <c r="J132" i="4" a="1"/>
  <c r="J132" i="4" s="1"/>
  <c r="J133" i="4" a="1"/>
  <c r="J133" i="4" s="1"/>
  <c r="J134" i="4" a="1"/>
  <c r="J134" i="4" s="1"/>
  <c r="J135" i="4" a="1"/>
  <c r="J135" i="4" s="1"/>
  <c r="J136" i="4" a="1"/>
  <c r="J136" i="4" s="1"/>
  <c r="J137" i="4" a="1"/>
  <c r="J137" i="4" s="1"/>
  <c r="J138" i="4" a="1"/>
  <c r="J138" i="4" s="1"/>
  <c r="J139" i="4" a="1"/>
  <c r="J139" i="4" s="1"/>
  <c r="J140" i="4" a="1"/>
  <c r="J140" i="4" s="1"/>
  <c r="J141" i="4" a="1"/>
  <c r="J141" i="4" s="1"/>
  <c r="J142" i="4" a="1"/>
  <c r="J142" i="4" s="1"/>
  <c r="J143" i="4" a="1"/>
  <c r="J143" i="4" s="1"/>
  <c r="J144" i="4" a="1"/>
  <c r="J144" i="4" s="1"/>
  <c r="J145" i="4" a="1"/>
  <c r="J145" i="4" s="1"/>
  <c r="J146" i="4" a="1"/>
  <c r="J146" i="4" s="1"/>
  <c r="J147" i="4" a="1"/>
  <c r="J147" i="4" s="1"/>
  <c r="J148" i="4" a="1"/>
  <c r="J148" i="4" s="1"/>
  <c r="J149" i="4" a="1"/>
  <c r="J149" i="4" s="1"/>
  <c r="J150" i="4" a="1"/>
  <c r="J150" i="4" s="1"/>
  <c r="J151" i="4" a="1"/>
  <c r="J151" i="4" s="1"/>
  <c r="J152" i="4" a="1"/>
  <c r="J152" i="4" s="1"/>
  <c r="J153" i="4" a="1"/>
  <c r="J153" i="4" s="1"/>
  <c r="J154" i="4" a="1"/>
  <c r="J154" i="4" s="1"/>
  <c r="J155" i="4" a="1"/>
  <c r="J155" i="4" s="1"/>
  <c r="J156" i="4" a="1"/>
  <c r="J156" i="4" s="1"/>
  <c r="J157" i="4" a="1"/>
  <c r="J157" i="4" s="1"/>
  <c r="J158" i="4" a="1"/>
  <c r="J158" i="4" s="1"/>
  <c r="J159" i="4" a="1"/>
  <c r="J159" i="4" s="1"/>
  <c r="J160" i="4" a="1"/>
  <c r="J160" i="4" s="1"/>
  <c r="J161" i="4" a="1"/>
  <c r="J161" i="4" s="1"/>
  <c r="J162" i="4" a="1"/>
  <c r="J162" i="4" s="1"/>
  <c r="J163" i="4" a="1"/>
  <c r="J163" i="4" s="1"/>
  <c r="J164" i="4" a="1"/>
  <c r="J164" i="4" s="1"/>
  <c r="J165" i="4" a="1"/>
  <c r="J165" i="4" s="1"/>
  <c r="J166" i="4" a="1"/>
  <c r="J166" i="4" s="1"/>
  <c r="J167" i="4" a="1"/>
  <c r="J167" i="4" s="1"/>
  <c r="J168" i="4" a="1"/>
  <c r="J168" i="4" s="1"/>
  <c r="J169" i="4" a="1"/>
  <c r="J169" i="4" s="1"/>
  <c r="J170" i="4" a="1"/>
  <c r="J170" i="4" s="1"/>
  <c r="J171" i="4" a="1"/>
  <c r="J171" i="4" s="1"/>
  <c r="J172" i="4" a="1"/>
  <c r="J172" i="4" s="1"/>
  <c r="J173" i="4" a="1"/>
  <c r="J173" i="4" s="1"/>
  <c r="J174" i="4" a="1"/>
  <c r="J174" i="4" s="1"/>
  <c r="J175" i="4" a="1"/>
  <c r="J175" i="4" s="1"/>
  <c r="J176" i="4" a="1"/>
  <c r="J176" i="4" s="1"/>
  <c r="J177" i="4" a="1"/>
  <c r="J177" i="4" s="1"/>
  <c r="J178" i="4" a="1"/>
  <c r="J178" i="4" s="1"/>
  <c r="J179" i="4" a="1"/>
  <c r="J179" i="4" s="1"/>
  <c r="J180" i="4" a="1"/>
  <c r="J180" i="4" s="1"/>
  <c r="J181" i="4" a="1"/>
  <c r="J181" i="4" s="1"/>
  <c r="J182" i="4" a="1"/>
  <c r="J182" i="4" s="1"/>
  <c r="J183" i="4" a="1"/>
  <c r="J183" i="4" s="1"/>
  <c r="J184" i="4" a="1"/>
  <c r="J184" i="4" s="1"/>
  <c r="J185" i="4" a="1"/>
  <c r="J185" i="4" s="1"/>
  <c r="J186" i="4" a="1"/>
  <c r="J186" i="4" s="1"/>
  <c r="J187" i="4" a="1"/>
  <c r="J187" i="4" s="1"/>
  <c r="J188" i="4" a="1"/>
  <c r="J188" i="4" s="1"/>
  <c r="J189" i="4" a="1"/>
  <c r="J189" i="4" s="1"/>
  <c r="J190" i="4" a="1"/>
  <c r="J190" i="4" s="1"/>
  <c r="J191" i="4" a="1"/>
  <c r="J191" i="4" s="1"/>
  <c r="J192" i="4" a="1"/>
  <c r="J192" i="4" s="1"/>
  <c r="J193" i="4" a="1"/>
  <c r="J193" i="4" s="1"/>
  <c r="J194" i="4" a="1"/>
  <c r="J194" i="4" s="1"/>
  <c r="J195" i="4" a="1"/>
  <c r="J195" i="4" s="1"/>
  <c r="J196" i="4" a="1"/>
  <c r="J196" i="4" s="1"/>
  <c r="J197" i="4" a="1"/>
  <c r="J197" i="4" s="1"/>
  <c r="J198" i="4" a="1"/>
  <c r="J198" i="4" s="1"/>
  <c r="J199" i="4" a="1"/>
  <c r="J199" i="4" s="1"/>
  <c r="J200" i="4" a="1"/>
  <c r="J200" i="4" s="1"/>
  <c r="J13" i="4" a="1"/>
  <c r="J13" i="4" s="1"/>
  <c r="C15" i="4" a="1"/>
  <c r="C15" i="4" s="1"/>
  <c r="C16" i="4" s="1" a="1"/>
  <c r="C16" i="4" s="1"/>
  <c r="C17" i="4" s="1" a="1"/>
  <c r="C17" i="4" s="1"/>
  <c r="C18" i="4" s="1" a="1"/>
  <c r="C18" i="4" s="1"/>
  <c r="C19" i="4" s="1" a="1"/>
  <c r="C19" i="4" s="1"/>
  <c r="C20" i="4" s="1" a="1"/>
  <c r="C20" i="4" s="1"/>
  <c r="C21" i="4" s="1" a="1"/>
  <c r="C21" i="4" s="1"/>
  <c r="C22" i="4" s="1" a="1"/>
  <c r="C22" i="4" s="1"/>
  <c r="C23" i="4" s="1" a="1"/>
  <c r="C23" i="4" s="1"/>
  <c r="C24" i="4" s="1" a="1"/>
  <c r="C24" i="4" s="1"/>
  <c r="C25" i="4" s="1" a="1"/>
  <c r="C25" i="4" s="1"/>
  <c r="C26" i="4" s="1" a="1"/>
  <c r="C26" i="4" s="1"/>
  <c r="C27" i="4" s="1" a="1"/>
  <c r="C27" i="4" s="1"/>
  <c r="C28" i="4" s="1" a="1"/>
  <c r="C28" i="4" s="1"/>
  <c r="C29" i="4" s="1" a="1"/>
  <c r="C29" i="4" s="1"/>
  <c r="C30" i="4" s="1" a="1"/>
  <c r="C30" i="4" s="1"/>
  <c r="C31" i="4" s="1" a="1"/>
  <c r="C31" i="4" s="1"/>
  <c r="C32" i="4" s="1" a="1"/>
  <c r="C32" i="4" s="1"/>
  <c r="C33" i="4" s="1" a="1"/>
  <c r="C33" i="4" s="1"/>
  <c r="C34" i="4" s="1" a="1"/>
  <c r="C34" i="4" s="1"/>
  <c r="C35" i="4" s="1" a="1"/>
  <c r="C35" i="4" s="1"/>
  <c r="C36" i="4" s="1" a="1"/>
  <c r="C36" i="4" s="1"/>
  <c r="C37" i="4" s="1" a="1"/>
  <c r="C37" i="4" s="1"/>
  <c r="C38" i="4" s="1" a="1"/>
  <c r="C38" i="4" s="1"/>
  <c r="C39" i="4" s="1" a="1"/>
  <c r="C39" i="4" s="1"/>
  <c r="C40" i="4" s="1" a="1"/>
  <c r="C40" i="4" s="1"/>
  <c r="C41" i="4" s="1" a="1"/>
  <c r="C41" i="4" s="1"/>
  <c r="C42" i="4" s="1" a="1"/>
  <c r="C42" i="4" s="1"/>
  <c r="C43" i="4" s="1" a="1"/>
  <c r="C43" i="4" s="1"/>
  <c r="C44" i="4" s="1" a="1"/>
  <c r="C44" i="4" s="1"/>
  <c r="C45" i="4" s="1" a="1"/>
  <c r="C45" i="4" s="1"/>
  <c r="C46" i="4" s="1" a="1"/>
  <c r="C46" i="4" s="1"/>
  <c r="C47" i="4" s="1" a="1"/>
  <c r="C47" i="4" s="1"/>
  <c r="C48" i="4" s="1" a="1"/>
  <c r="C48" i="4" s="1"/>
  <c r="C49" i="4" s="1" a="1"/>
  <c r="C49" i="4" s="1"/>
  <c r="C50" i="4" s="1" a="1"/>
  <c r="C50" i="4" s="1"/>
  <c r="C51" i="4" s="1" a="1"/>
  <c r="C51" i="4" s="1"/>
  <c r="C52" i="4" s="1" a="1"/>
  <c r="C52" i="4" s="1"/>
  <c r="C53" i="4" s="1" a="1"/>
  <c r="C53" i="4" s="1"/>
  <c r="C54" i="4" s="1" a="1"/>
  <c r="C54" i="4" s="1"/>
  <c r="C55" i="4" s="1" a="1"/>
  <c r="C55" i="4" s="1"/>
  <c r="C56" i="4" s="1" a="1"/>
  <c r="C56" i="4" s="1"/>
  <c r="C57" i="4" s="1" a="1"/>
  <c r="C57" i="4" s="1"/>
  <c r="C58" i="4" s="1" a="1"/>
  <c r="C58" i="4" s="1"/>
  <c r="C59" i="4" s="1" a="1"/>
  <c r="C59" i="4" s="1"/>
  <c r="C60" i="4" s="1" a="1"/>
  <c r="C60" i="4" s="1"/>
  <c r="C61" i="4" s="1" a="1"/>
  <c r="C61" i="4" s="1"/>
  <c r="C62" i="4" s="1" a="1"/>
  <c r="C62" i="4" s="1"/>
  <c r="C63" i="4" s="1" a="1"/>
  <c r="C63" i="4" s="1"/>
  <c r="C64" i="4" s="1" a="1"/>
  <c r="C64" i="4" s="1"/>
  <c r="C65" i="4" s="1" a="1"/>
  <c r="C65" i="4" s="1"/>
  <c r="C66" i="4" s="1" a="1"/>
  <c r="C66" i="4" s="1"/>
  <c r="C67" i="4" s="1" a="1"/>
  <c r="C67" i="4" s="1"/>
  <c r="C68" i="4" s="1" a="1"/>
  <c r="C68" i="4" s="1"/>
  <c r="C69" i="4" s="1" a="1"/>
  <c r="C69" i="4" s="1"/>
  <c r="C70" i="4" s="1" a="1"/>
  <c r="C70" i="4" s="1"/>
  <c r="C71" i="4" s="1" a="1"/>
  <c r="C71" i="4" s="1"/>
  <c r="C72" i="4" s="1" a="1"/>
  <c r="C72" i="4" s="1"/>
  <c r="C73" i="4" s="1" a="1"/>
  <c r="C73" i="4" s="1"/>
  <c r="C74" i="4" s="1" a="1"/>
  <c r="C74" i="4" s="1"/>
  <c r="C75" i="4" s="1" a="1"/>
  <c r="C75" i="4" s="1"/>
  <c r="C76" i="4" s="1" a="1"/>
  <c r="C76" i="4" s="1"/>
  <c r="C77" i="4" s="1" a="1"/>
  <c r="C77" i="4" s="1"/>
  <c r="C78" i="4" s="1" a="1"/>
  <c r="C78" i="4" s="1"/>
  <c r="C79" i="4" s="1" a="1"/>
  <c r="C79" i="4" s="1"/>
  <c r="C80" i="4" s="1" a="1"/>
  <c r="C80" i="4" s="1"/>
  <c r="C81" i="4" s="1" a="1"/>
  <c r="C81" i="4" s="1"/>
  <c r="C82" i="4" s="1" a="1"/>
  <c r="C82" i="4" s="1"/>
  <c r="C83" i="4" s="1" a="1"/>
  <c r="C83" i="4" s="1"/>
  <c r="C84" i="4" s="1" a="1"/>
  <c r="C84" i="4" s="1"/>
  <c r="C85" i="4" s="1" a="1"/>
  <c r="C85" i="4" s="1"/>
  <c r="C86" i="4" s="1" a="1"/>
  <c r="C86" i="4" s="1"/>
  <c r="C87" i="4" s="1" a="1"/>
  <c r="C87" i="4" s="1"/>
  <c r="C88" i="4" s="1" a="1"/>
  <c r="C88" i="4" s="1"/>
  <c r="C89" i="4" s="1" a="1"/>
  <c r="C89" i="4" s="1"/>
  <c r="C90" i="4" s="1" a="1"/>
  <c r="C90" i="4" s="1"/>
  <c r="C91" i="4" s="1" a="1"/>
  <c r="C91" i="4" s="1"/>
  <c r="C92" i="4" s="1" a="1"/>
  <c r="C92" i="4" s="1"/>
  <c r="C93" i="4" s="1" a="1"/>
  <c r="C93" i="4" s="1"/>
  <c r="C94" i="4" s="1" a="1"/>
  <c r="C94" i="4" s="1"/>
  <c r="C95" i="4" s="1" a="1"/>
  <c r="C95" i="4" s="1"/>
  <c r="C96" i="4" s="1" a="1"/>
  <c r="C96" i="4" s="1"/>
  <c r="C97" i="4" s="1" a="1"/>
  <c r="C97" i="4" s="1"/>
  <c r="C98" i="4" s="1" a="1"/>
  <c r="C98" i="4" s="1"/>
  <c r="C99" i="4" s="1" a="1"/>
  <c r="C99" i="4" s="1"/>
  <c r="C100" i="4" s="1" a="1"/>
  <c r="C100" i="4" s="1"/>
  <c r="C101" i="4" s="1" a="1"/>
  <c r="C101" i="4" s="1"/>
  <c r="C102" i="4" s="1" a="1"/>
  <c r="C102" i="4" s="1"/>
  <c r="C103" i="4" s="1" a="1"/>
  <c r="C103" i="4" s="1"/>
  <c r="C104" i="4" s="1" a="1"/>
  <c r="C104" i="4" s="1"/>
  <c r="C105" i="4" s="1" a="1"/>
  <c r="C105" i="4" s="1"/>
  <c r="C106" i="4" s="1" a="1"/>
  <c r="C106" i="4" s="1"/>
  <c r="C107" i="4" s="1" a="1"/>
  <c r="C107" i="4" s="1"/>
  <c r="C108" i="4" s="1" a="1"/>
  <c r="C108" i="4" s="1"/>
  <c r="C109" i="4" s="1" a="1"/>
  <c r="C109" i="4" s="1"/>
  <c r="C110" i="4" s="1" a="1"/>
  <c r="C110" i="4" s="1"/>
  <c r="C111" i="4" s="1" a="1"/>
  <c r="C111" i="4" s="1"/>
  <c r="C112" i="4" s="1" a="1"/>
  <c r="C112" i="4" s="1"/>
  <c r="C113" i="4" s="1" a="1"/>
  <c r="C113" i="4" s="1"/>
  <c r="C114" i="4" s="1" a="1"/>
  <c r="C114" i="4" s="1"/>
  <c r="C115" i="4" s="1" a="1"/>
  <c r="C115" i="4" s="1"/>
  <c r="C116" i="4" s="1" a="1"/>
  <c r="C116" i="4" s="1"/>
  <c r="C117" i="4" s="1" a="1"/>
  <c r="C117" i="4" s="1"/>
  <c r="C118" i="4" s="1" a="1"/>
  <c r="C118" i="4" s="1"/>
  <c r="C119" i="4" s="1" a="1"/>
  <c r="C119" i="4" s="1"/>
  <c r="C120" i="4" s="1" a="1"/>
  <c r="C120" i="4" s="1"/>
  <c r="C121" i="4" s="1" a="1"/>
  <c r="C121" i="4" s="1"/>
  <c r="C122" i="4" s="1" a="1"/>
  <c r="C122" i="4" s="1"/>
  <c r="C123" i="4" s="1" a="1"/>
  <c r="C123" i="4" s="1"/>
  <c r="C124" i="4" s="1" a="1"/>
  <c r="C124" i="4" s="1"/>
  <c r="C125" i="4" s="1" a="1"/>
  <c r="C125" i="4" s="1"/>
  <c r="C126" i="4" s="1" a="1"/>
  <c r="C126" i="4" s="1"/>
  <c r="C127" i="4" s="1" a="1"/>
  <c r="C127" i="4" s="1"/>
  <c r="C128" i="4" s="1" a="1"/>
  <c r="C128" i="4" s="1"/>
  <c r="C129" i="4" s="1" a="1"/>
  <c r="C129" i="4" s="1"/>
  <c r="C130" i="4" s="1" a="1"/>
  <c r="C130" i="4" s="1"/>
  <c r="C131" i="4" s="1" a="1"/>
  <c r="C131" i="4" s="1"/>
  <c r="C132" i="4" s="1" a="1"/>
  <c r="C132" i="4" s="1"/>
  <c r="C133" i="4" s="1" a="1"/>
  <c r="C133" i="4" s="1"/>
  <c r="C134" i="4" s="1" a="1"/>
  <c r="C134" i="4" s="1"/>
  <c r="C135" i="4" s="1" a="1"/>
  <c r="C135" i="4" s="1"/>
  <c r="C136" i="4" s="1" a="1"/>
  <c r="C136" i="4" s="1"/>
  <c r="C137" i="4" s="1" a="1"/>
  <c r="C137" i="4" s="1"/>
  <c r="C138" i="4" s="1" a="1"/>
  <c r="C138" i="4" s="1"/>
  <c r="C139" i="4" s="1" a="1"/>
  <c r="C139" i="4" s="1"/>
  <c r="C140" i="4" s="1" a="1"/>
  <c r="C140" i="4" s="1"/>
  <c r="C141" i="4" s="1" a="1"/>
  <c r="C141" i="4" s="1"/>
  <c r="C142" i="4" s="1" a="1"/>
  <c r="C142" i="4" s="1"/>
  <c r="C143" i="4" s="1" a="1"/>
  <c r="C143" i="4" s="1"/>
  <c r="C144" i="4" s="1" a="1"/>
  <c r="C144" i="4" s="1"/>
  <c r="C145" i="4" s="1" a="1"/>
  <c r="C145" i="4" s="1"/>
  <c r="C146" i="4" s="1" a="1"/>
  <c r="C146" i="4" s="1"/>
  <c r="C147" i="4" s="1" a="1"/>
  <c r="C147" i="4" s="1"/>
  <c r="C148" i="4" s="1" a="1"/>
  <c r="C148" i="4" s="1"/>
  <c r="C149" i="4" s="1" a="1"/>
  <c r="C149" i="4" s="1"/>
  <c r="C150" i="4" s="1" a="1"/>
  <c r="C150" i="4" s="1"/>
  <c r="C151" i="4" s="1" a="1"/>
  <c r="C151" i="4" s="1"/>
  <c r="C152" i="4" s="1" a="1"/>
  <c r="C152" i="4" s="1"/>
  <c r="C153" i="4" s="1" a="1"/>
  <c r="C153" i="4" s="1"/>
  <c r="C154" i="4" s="1" a="1"/>
  <c r="C154" i="4" s="1"/>
  <c r="C155" i="4" s="1" a="1"/>
  <c r="C155" i="4" s="1"/>
  <c r="C156" i="4" s="1" a="1"/>
  <c r="C156" i="4" s="1"/>
  <c r="C157" i="4" s="1" a="1"/>
  <c r="C157" i="4" s="1"/>
  <c r="C158" i="4" s="1" a="1"/>
  <c r="C158" i="4" s="1"/>
  <c r="C159" i="4" s="1" a="1"/>
  <c r="C159" i="4" s="1"/>
  <c r="C160" i="4" s="1" a="1"/>
  <c r="C160" i="4" s="1"/>
  <c r="C161" i="4" s="1" a="1"/>
  <c r="C161" i="4" s="1"/>
  <c r="C162" i="4" s="1" a="1"/>
  <c r="C162" i="4" s="1"/>
  <c r="C163" i="4" s="1" a="1"/>
  <c r="C163" i="4" s="1"/>
  <c r="C164" i="4" s="1" a="1"/>
  <c r="C164" i="4" s="1"/>
  <c r="C165" i="4" s="1" a="1"/>
  <c r="C165" i="4" s="1"/>
  <c r="C166" i="4" s="1" a="1"/>
  <c r="C166" i="4" s="1"/>
  <c r="C167" i="4" s="1" a="1"/>
  <c r="C167" i="4" s="1"/>
  <c r="C168" i="4" s="1" a="1"/>
  <c r="C168" i="4" s="1"/>
  <c r="C169" i="4" s="1" a="1"/>
  <c r="C169" i="4" s="1"/>
  <c r="C170" i="4" s="1" a="1"/>
  <c r="C170" i="4" s="1"/>
  <c r="C171" i="4" s="1" a="1"/>
  <c r="C171" i="4" s="1"/>
  <c r="C172" i="4" s="1" a="1"/>
  <c r="C172" i="4" s="1"/>
  <c r="C173" i="4" s="1" a="1"/>
  <c r="C173" i="4" s="1"/>
  <c r="C174" i="4" s="1" a="1"/>
  <c r="C174" i="4" s="1"/>
  <c r="C175" i="4" s="1" a="1"/>
  <c r="C175" i="4" s="1"/>
  <c r="C176" i="4" s="1" a="1"/>
  <c r="C176" i="4" s="1"/>
  <c r="C177" i="4" s="1" a="1"/>
  <c r="C177" i="4" s="1"/>
  <c r="C178" i="4" s="1" a="1"/>
  <c r="C178" i="4" s="1"/>
  <c r="C179" i="4" s="1" a="1"/>
  <c r="C179" i="4" s="1"/>
  <c r="C180" i="4" s="1" a="1"/>
  <c r="C180" i="4" s="1"/>
  <c r="C181" i="4" s="1" a="1"/>
  <c r="C181" i="4" s="1"/>
  <c r="C182" i="4" s="1" a="1"/>
  <c r="C182" i="4" s="1"/>
  <c r="C183" i="4" s="1" a="1"/>
  <c r="C183" i="4" s="1"/>
  <c r="C184" i="4" s="1" a="1"/>
  <c r="C184" i="4" s="1"/>
  <c r="C185" i="4" s="1" a="1"/>
  <c r="C185" i="4" s="1"/>
  <c r="C186" i="4" s="1" a="1"/>
  <c r="C186" i="4" s="1"/>
  <c r="C187" i="4" s="1" a="1"/>
  <c r="C187" i="4" s="1"/>
  <c r="C188" i="4" s="1" a="1"/>
  <c r="C188" i="4" s="1"/>
  <c r="C189" i="4" s="1" a="1"/>
  <c r="C189" i="4" s="1"/>
  <c r="C190" i="4" s="1" a="1"/>
  <c r="C190" i="4" s="1"/>
  <c r="C191" i="4" s="1" a="1"/>
  <c r="C191" i="4" s="1"/>
  <c r="C192" i="4" s="1" a="1"/>
  <c r="C192" i="4" s="1"/>
  <c r="C193" i="4" s="1" a="1"/>
  <c r="C193" i="4" s="1"/>
  <c r="C194" i="4" s="1" a="1"/>
  <c r="C194" i="4" s="1"/>
  <c r="C195" i="4" s="1" a="1"/>
  <c r="C195" i="4" s="1"/>
  <c r="C196" i="4" s="1" a="1"/>
  <c r="C196" i="4" s="1"/>
  <c r="C197" i="4" s="1" a="1"/>
  <c r="C197" i="4" s="1"/>
  <c r="C198" i="4" s="1" a="1"/>
  <c r="C198" i="4" s="1"/>
  <c r="C199" i="4" s="1" a="1"/>
  <c r="C199" i="4" s="1"/>
  <c r="C200" i="4" s="1" a="1"/>
  <c r="C200" i="4" s="1"/>
  <c r="C14" i="4" a="1"/>
  <c r="C14" i="4" s="1"/>
  <c r="E20" i="5" a="1"/>
  <c r="E20" i="5" s="1"/>
  <c r="G67" i="5" s="1"/>
  <c r="E19" i="5" a="1"/>
  <c r="E19" i="5" s="1"/>
  <c r="D63" i="5" s="1"/>
  <c r="F63" i="5" s="1"/>
  <c r="J63" i="5" s="1" a="1"/>
  <c r="J63" i="5" s="1"/>
  <c r="C9" i="6"/>
  <c r="C10" i="6" s="1"/>
  <c r="C11" i="6" s="1"/>
  <c r="C12" i="6" s="1"/>
  <c r="C13" i="6" s="1"/>
  <c r="C14" i="6" s="1"/>
  <c r="C15" i="6" s="1"/>
  <c r="C16" i="6" s="1"/>
  <c r="C17" i="6" s="1"/>
  <c r="C18" i="6" s="1"/>
  <c r="C19" i="6" s="1"/>
  <c r="E12" i="5" a="1"/>
  <c r="E12" i="5" s="1"/>
  <c r="E11" i="5"/>
  <c r="E9" i="5"/>
  <c r="I12" i="3"/>
  <c r="I13" i="3"/>
  <c r="I14" i="3"/>
  <c r="I15" i="3"/>
  <c r="H12" i="3" a="1"/>
  <c r="H12" i="3" s="1"/>
  <c r="H13" i="3" a="1"/>
  <c r="H13" i="3" s="1"/>
  <c r="H14" i="3" a="1"/>
  <c r="H14" i="3" s="1"/>
  <c r="H15" i="3" a="1"/>
  <c r="H15" i="3" s="1"/>
  <c r="P38" i="2"/>
  <c r="Q28" i="2"/>
  <c r="Q31" i="2"/>
  <c r="Q30" i="2"/>
  <c r="CW10" i="2"/>
  <c r="DK10" i="2"/>
  <c r="DY10" i="2"/>
  <c r="EM10" i="2"/>
  <c r="FA10" i="2"/>
  <c r="CW11" i="2"/>
  <c r="DK11" i="2"/>
  <c r="DY11" i="2"/>
  <c r="EM11" i="2"/>
  <c r="FA11" i="2"/>
  <c r="CW12" i="2"/>
  <c r="DK12" i="2"/>
  <c r="DY12" i="2"/>
  <c r="EM12" i="2"/>
  <c r="FA12" i="2"/>
  <c r="CW13" i="2"/>
  <c r="DK13" i="2"/>
  <c r="DY13" i="2"/>
  <c r="EM13" i="2"/>
  <c r="FA13" i="2"/>
  <c r="CW14" i="2"/>
  <c r="DK14" i="2"/>
  <c r="DY14" i="2"/>
  <c r="EM14" i="2"/>
  <c r="FA14" i="2"/>
  <c r="CW15" i="2"/>
  <c r="DK15" i="2"/>
  <c r="DY15" i="2"/>
  <c r="EM15" i="2"/>
  <c r="FA15" i="2"/>
  <c r="CW16" i="2"/>
  <c r="DK16" i="2"/>
  <c r="DY16" i="2"/>
  <c r="EM16" i="2"/>
  <c r="FA16" i="2"/>
  <c r="CW17" i="2"/>
  <c r="DK17" i="2"/>
  <c r="DY17" i="2"/>
  <c r="EM17" i="2"/>
  <c r="FA17" i="2"/>
  <c r="CW18" i="2"/>
  <c r="DK18" i="2"/>
  <c r="DY18" i="2"/>
  <c r="EM18" i="2"/>
  <c r="FA18" i="2"/>
  <c r="CW19" i="2"/>
  <c r="DK19" i="2"/>
  <c r="DY19" i="2"/>
  <c r="EM19" i="2"/>
  <c r="FA19" i="2"/>
  <c r="CW23" i="2"/>
  <c r="DK23" i="2"/>
  <c r="DY23" i="2"/>
  <c r="EM23" i="2"/>
  <c r="FA23" i="2"/>
  <c r="CW24" i="2"/>
  <c r="DK24" i="2"/>
  <c r="DY24" i="2"/>
  <c r="EM24" i="2"/>
  <c r="FA24" i="2"/>
  <c r="CW25" i="2"/>
  <c r="DK25" i="2"/>
  <c r="DY25" i="2"/>
  <c r="EM25" i="2"/>
  <c r="FA25" i="2"/>
  <c r="CW26" i="2"/>
  <c r="DK26" i="2"/>
  <c r="DY26" i="2"/>
  <c r="EM26" i="2"/>
  <c r="FA26" i="2"/>
  <c r="CW27" i="2"/>
  <c r="DK27" i="2"/>
  <c r="DY27" i="2"/>
  <c r="EM27" i="2"/>
  <c r="FA27" i="2"/>
  <c r="CW29" i="2"/>
  <c r="DK29" i="2"/>
  <c r="DY29" i="2"/>
  <c r="EM29" i="2"/>
  <c r="FA29" i="2"/>
  <c r="CW32" i="2"/>
  <c r="DK32" i="2"/>
  <c r="DY32" i="2"/>
  <c r="EM32" i="2"/>
  <c r="FA32" i="2"/>
  <c r="CW33" i="2"/>
  <c r="DK33" i="2"/>
  <c r="DY33" i="2"/>
  <c r="EM33" i="2"/>
  <c r="FA33" i="2"/>
  <c r="CW34" i="2"/>
  <c r="DK34" i="2"/>
  <c r="DY34" i="2"/>
  <c r="EM34" i="2"/>
  <c r="FA34" i="2"/>
  <c r="CW35" i="2"/>
  <c r="DK35" i="2"/>
  <c r="DY35" i="2"/>
  <c r="EM35" i="2"/>
  <c r="FA35" i="2"/>
  <c r="CW39" i="2"/>
  <c r="DK39" i="2"/>
  <c r="DY39" i="2"/>
  <c r="EM39" i="2"/>
  <c r="FA39" i="2"/>
  <c r="CW40" i="2"/>
  <c r="DK40" i="2"/>
  <c r="DY40" i="2"/>
  <c r="EM40" i="2"/>
  <c r="FA40" i="2"/>
  <c r="CW41" i="2"/>
  <c r="DK41" i="2"/>
  <c r="DY41" i="2"/>
  <c r="EM41" i="2"/>
  <c r="FA41" i="2"/>
  <c r="CW42" i="2"/>
  <c r="DK42" i="2"/>
  <c r="DY42" i="2"/>
  <c r="EM42" i="2"/>
  <c r="FA42" i="2"/>
  <c r="CW43" i="2"/>
  <c r="DK43" i="2"/>
  <c r="DY43" i="2"/>
  <c r="EM43" i="2"/>
  <c r="FA43" i="2"/>
  <c r="CW44" i="2"/>
  <c r="DK44" i="2"/>
  <c r="DY44" i="2"/>
  <c r="EM44" i="2"/>
  <c r="FA44" i="2"/>
  <c r="CW45" i="2"/>
  <c r="DK45" i="2"/>
  <c r="DY45" i="2"/>
  <c r="EM45" i="2"/>
  <c r="FA45" i="2"/>
  <c r="CW46" i="2"/>
  <c r="DK46" i="2"/>
  <c r="DY46" i="2"/>
  <c r="EM46" i="2"/>
  <c r="FA46" i="2"/>
  <c r="CW47" i="2"/>
  <c r="DK47" i="2"/>
  <c r="DY47" i="2"/>
  <c r="EM47" i="2"/>
  <c r="FA47" i="2"/>
  <c r="CW48" i="2"/>
  <c r="DK48" i="2"/>
  <c r="DY48" i="2"/>
  <c r="EM48" i="2"/>
  <c r="FA48" i="2"/>
  <c r="AS10" i="2"/>
  <c r="BG10" i="2"/>
  <c r="BU10" i="2"/>
  <c r="CI10" i="2"/>
  <c r="AS11" i="2"/>
  <c r="BG11" i="2"/>
  <c r="BU11" i="2"/>
  <c r="CI11" i="2"/>
  <c r="AS12" i="2"/>
  <c r="BG12" i="2"/>
  <c r="BU12" i="2"/>
  <c r="CI12" i="2"/>
  <c r="AS13" i="2"/>
  <c r="BG13" i="2"/>
  <c r="BU13" i="2"/>
  <c r="CI13" i="2"/>
  <c r="AS14" i="2"/>
  <c r="BG14" i="2"/>
  <c r="BU14" i="2"/>
  <c r="CI14" i="2"/>
  <c r="AS15" i="2"/>
  <c r="BG15" i="2"/>
  <c r="BU15" i="2"/>
  <c r="CI15" i="2"/>
  <c r="AS16" i="2"/>
  <c r="BG16" i="2"/>
  <c r="BU16" i="2"/>
  <c r="CI16" i="2"/>
  <c r="AS17" i="2"/>
  <c r="BG17" i="2"/>
  <c r="BU17" i="2"/>
  <c r="CI17" i="2"/>
  <c r="AS18" i="2"/>
  <c r="BG18" i="2"/>
  <c r="BU18" i="2"/>
  <c r="CI18" i="2"/>
  <c r="AS19" i="2"/>
  <c r="BG19" i="2"/>
  <c r="BU19" i="2"/>
  <c r="CI19" i="2"/>
  <c r="AS23" i="2"/>
  <c r="BG23" i="2"/>
  <c r="BU23" i="2"/>
  <c r="CI23" i="2"/>
  <c r="AS24" i="2"/>
  <c r="BG24" i="2"/>
  <c r="BU24" i="2"/>
  <c r="CI24" i="2"/>
  <c r="AS25" i="2"/>
  <c r="BG25" i="2"/>
  <c r="BU25" i="2"/>
  <c r="CI25" i="2"/>
  <c r="AS26" i="2"/>
  <c r="BG26" i="2"/>
  <c r="BU26" i="2"/>
  <c r="CI26" i="2"/>
  <c r="AS27" i="2"/>
  <c r="BG27" i="2"/>
  <c r="BU27" i="2"/>
  <c r="CI27" i="2"/>
  <c r="AS29" i="2"/>
  <c r="BG29" i="2"/>
  <c r="BU29" i="2"/>
  <c r="CI29" i="2"/>
  <c r="AS32" i="2"/>
  <c r="BG32" i="2"/>
  <c r="BU32" i="2"/>
  <c r="CI32" i="2"/>
  <c r="AS33" i="2"/>
  <c r="BG33" i="2"/>
  <c r="BU33" i="2"/>
  <c r="CI33" i="2"/>
  <c r="AS34" i="2"/>
  <c r="BG34" i="2"/>
  <c r="BU34" i="2"/>
  <c r="CI34" i="2"/>
  <c r="AS35" i="2"/>
  <c r="BG35" i="2"/>
  <c r="BU35" i="2"/>
  <c r="CI35" i="2"/>
  <c r="AS39" i="2"/>
  <c r="BG39" i="2"/>
  <c r="BU39" i="2"/>
  <c r="CI39" i="2"/>
  <c r="AS40" i="2"/>
  <c r="BG40" i="2"/>
  <c r="BU40" i="2"/>
  <c r="CI40" i="2"/>
  <c r="AS41" i="2"/>
  <c r="BG41" i="2"/>
  <c r="BU41" i="2"/>
  <c r="CI41" i="2"/>
  <c r="AS42" i="2"/>
  <c r="BG42" i="2"/>
  <c r="BU42" i="2"/>
  <c r="CI42" i="2"/>
  <c r="AS43" i="2"/>
  <c r="BG43" i="2"/>
  <c r="BU43" i="2"/>
  <c r="CI43" i="2"/>
  <c r="AS44" i="2"/>
  <c r="BG44" i="2"/>
  <c r="BU44" i="2"/>
  <c r="CI44" i="2"/>
  <c r="AS45" i="2"/>
  <c r="BG45" i="2"/>
  <c r="BU45" i="2"/>
  <c r="CI45" i="2"/>
  <c r="AS46" i="2"/>
  <c r="BG46" i="2"/>
  <c r="BU46" i="2"/>
  <c r="CI46" i="2"/>
  <c r="AS47" i="2"/>
  <c r="BG47" i="2"/>
  <c r="BU47" i="2"/>
  <c r="CI47" i="2"/>
  <c r="AS48" i="2"/>
  <c r="BG48" i="2"/>
  <c r="BU48" i="2"/>
  <c r="CI48" i="2"/>
  <c r="S5" i="2"/>
  <c r="V9" i="2" s="1"/>
  <c r="AE10" i="2"/>
  <c r="AE11" i="2"/>
  <c r="AE12" i="2"/>
  <c r="AE13" i="2"/>
  <c r="AE14" i="2"/>
  <c r="AE15" i="2"/>
  <c r="AE16" i="2"/>
  <c r="AE17" i="2"/>
  <c r="AE18" i="2"/>
  <c r="AE19" i="2"/>
  <c r="Y22" i="2"/>
  <c r="AE23" i="2"/>
  <c r="AE24" i="2"/>
  <c r="AE25" i="2"/>
  <c r="AE26" i="2"/>
  <c r="AE27" i="2"/>
  <c r="AE29" i="2"/>
  <c r="AE32" i="2"/>
  <c r="AE33" i="2"/>
  <c r="AE34" i="2"/>
  <c r="AE35" i="2"/>
  <c r="AE39" i="2"/>
  <c r="AE40" i="2"/>
  <c r="AE41" i="2"/>
  <c r="AE42" i="2"/>
  <c r="AE43" i="2"/>
  <c r="AE44" i="2"/>
  <c r="AE45" i="2"/>
  <c r="AE46" i="2"/>
  <c r="AE47" i="2"/>
  <c r="AE48" i="2"/>
  <c r="Q48" i="2"/>
  <c r="Q47" i="2"/>
  <c r="Q46" i="2"/>
  <c r="Q45" i="2"/>
  <c r="Q44" i="2"/>
  <c r="Q43" i="2"/>
  <c r="Q42" i="2"/>
  <c r="Q41" i="2"/>
  <c r="Q40" i="2"/>
  <c r="Q39" i="2"/>
  <c r="Q38" i="2"/>
  <c r="O38" i="2"/>
  <c r="N38" i="2"/>
  <c r="M38" i="2"/>
  <c r="L38" i="2"/>
  <c r="K38" i="2"/>
  <c r="J38" i="2"/>
  <c r="I38" i="2"/>
  <c r="H38" i="2"/>
  <c r="G38" i="2"/>
  <c r="F38" i="2"/>
  <c r="E38" i="2"/>
  <c r="Q35" i="2"/>
  <c r="Q34" i="2"/>
  <c r="Q33" i="2"/>
  <c r="Q32" i="2"/>
  <c r="Q29" i="2"/>
  <c r="Q27" i="2"/>
  <c r="Q26" i="2"/>
  <c r="Q25" i="2"/>
  <c r="Q24" i="2"/>
  <c r="Q23" i="2"/>
  <c r="Q22" i="2"/>
  <c r="P22" i="2"/>
  <c r="O22" i="2"/>
  <c r="N22" i="2"/>
  <c r="M22" i="2"/>
  <c r="L22" i="2"/>
  <c r="K22" i="2"/>
  <c r="J22" i="2"/>
  <c r="I22" i="2"/>
  <c r="H22" i="2"/>
  <c r="G22" i="2"/>
  <c r="F22" i="2"/>
  <c r="E22" i="2"/>
  <c r="Q11" i="2"/>
  <c r="Q12" i="2"/>
  <c r="Q13" i="2"/>
  <c r="Q14" i="2"/>
  <c r="Q15" i="2"/>
  <c r="Q16" i="2"/>
  <c r="Q17" i="2"/>
  <c r="Q18" i="2"/>
  <c r="Q19" i="2"/>
  <c r="Q10" i="2"/>
  <c r="Q9" i="2"/>
  <c r="P9" i="2"/>
  <c r="O9" i="2"/>
  <c r="N9" i="2"/>
  <c r="M9" i="2"/>
  <c r="L9" i="2"/>
  <c r="K9" i="2"/>
  <c r="J9" i="2"/>
  <c r="I9" i="2"/>
  <c r="H9" i="2"/>
  <c r="G9" i="2"/>
  <c r="E9" i="2"/>
  <c r="F9" i="2"/>
  <c r="CU49" i="2" a="1"/>
  <c r="BC20" i="2" a="1"/>
  <c r="W20" i="2" a="1"/>
  <c r="U20" i="2" a="1"/>
  <c r="BU36" i="2" a="1"/>
  <c r="DB49" i="2" a="1"/>
  <c r="BE49" i="2" a="1"/>
  <c r="CS36" i="2" a="1"/>
  <c r="CL20" i="2" a="1"/>
  <c r="CZ36" i="2" a="1"/>
  <c r="AP36" i="2" a="1"/>
  <c r="H20" i="2" a="1"/>
  <c r="DO49" i="2" a="1"/>
  <c r="AS36" i="2" a="1"/>
  <c r="BI49" i="2" a="1"/>
  <c r="DT20" i="2" a="1"/>
  <c r="BF20" i="2" a="1"/>
  <c r="DB20" i="2" a="1"/>
  <c r="AM49" i="2" a="1"/>
  <c r="Q49" i="2" a="1"/>
  <c r="BT49" i="2" a="1"/>
  <c r="Y36" i="2" a="1"/>
  <c r="DH20" i="2" a="1"/>
  <c r="AS49" i="2" a="1"/>
  <c r="J20" i="2" a="1"/>
  <c r="ER49" i="2" a="1"/>
  <c r="CW49" i="2" a="1"/>
  <c r="BS36" i="2" a="1"/>
  <c r="E49" i="2" a="1"/>
  <c r="BB36" i="2" a="1"/>
  <c r="DW49" i="2" a="1"/>
  <c r="BZ36" i="2" a="1"/>
  <c r="S20" i="2" a="1"/>
  <c r="EZ20" i="2" a="1"/>
  <c r="Z20" i="2" a="1"/>
  <c r="FA36" i="2" a="1"/>
  <c r="BO20" i="2" a="1"/>
  <c r="DS20" i="2" a="1"/>
  <c r="CR36" i="2" a="1"/>
  <c r="AK20" i="2" a="1"/>
  <c r="V49" i="2" a="1"/>
  <c r="H49" i="2" a="1"/>
  <c r="AJ36" i="2" a="1"/>
  <c r="CY36" i="2" a="1"/>
  <c r="CA49" i="2" a="1"/>
  <c r="DG36" i="2" a="1"/>
  <c r="CR20" i="2" a="1"/>
  <c r="DI20" i="2" a="1"/>
  <c r="BQ36" i="2" a="1"/>
  <c r="EA36" i="2" a="1"/>
  <c r="DN20" i="2" a="1"/>
  <c r="CD49" i="2" a="1"/>
  <c r="T20" i="2" a="1"/>
  <c r="EU49" i="2" a="1"/>
  <c r="P36" i="2" a="1"/>
  <c r="DI49" i="2" a="1"/>
  <c r="BB49" i="2" a="1"/>
  <c r="Q36" i="2" a="1"/>
  <c r="BW20" i="2" a="1"/>
  <c r="BJ36" i="2" a="1"/>
  <c r="DV49" i="2" a="1"/>
  <c r="AL20" i="2" a="1"/>
  <c r="AE49" i="2" a="1"/>
  <c r="BZ49" i="2" a="1"/>
  <c r="EM20" i="2" a="1"/>
  <c r="CG36" i="2" a="1"/>
  <c r="EB20" i="2" a="1"/>
  <c r="BK36" i="2" a="1"/>
  <c r="ET20" i="2" a="1"/>
  <c r="AY49" i="2" a="1"/>
  <c r="T36" i="2" a="1"/>
  <c r="DP49" i="2" a="1"/>
  <c r="EH20" i="2" a="1"/>
  <c r="EK20" i="2" a="1"/>
  <c r="CK49" i="2" a="1"/>
  <c r="ER20" i="2" a="1"/>
  <c r="BU20" i="2" a="1"/>
  <c r="CH20" i="2" a="1"/>
  <c r="BT36" i="2" a="1"/>
  <c r="AB36" i="2" a="1"/>
  <c r="EP49" i="2" a="1"/>
  <c r="BI36" i="2" a="1"/>
  <c r="N49" i="2" a="1"/>
  <c r="G20" i="2" a="1"/>
  <c r="AY36" i="2" a="1"/>
  <c r="DD49" i="2" a="1"/>
  <c r="AR36" i="2" a="1"/>
  <c r="EQ20" i="2" a="1"/>
  <c r="CZ49" i="2" a="1"/>
  <c r="DN36" i="2" a="1"/>
  <c r="AM20" i="2" a="1"/>
  <c r="AI20" i="2" a="1"/>
  <c r="EH49" i="2" a="1"/>
  <c r="AW20" i="2" a="1"/>
  <c r="AA49" i="2" a="1"/>
  <c r="DX36" i="2" a="1"/>
  <c r="DE20" i="2" a="1"/>
  <c r="DS36" i="2" a="1"/>
  <c r="BP36" i="2" a="1"/>
  <c r="P20" i="2" a="1"/>
  <c r="L36" i="2" a="1"/>
  <c r="X20" i="2" a="1"/>
  <c r="DY36" i="2" a="1"/>
  <c r="BW36" i="2" a="1"/>
  <c r="F49" i="2" a="1"/>
  <c r="BP20" i="2" a="1"/>
  <c r="ED49" i="2" a="1"/>
  <c r="CB49" i="2" a="1"/>
  <c r="DQ20" i="2" a="1"/>
  <c r="AU36" i="2" a="1"/>
  <c r="EB36" i="2" a="1"/>
  <c r="AZ49" i="2" a="1"/>
  <c r="AC20" i="2" a="1"/>
  <c r="EK49" i="2" a="1"/>
  <c r="BN36" i="2" a="1"/>
  <c r="CL49" i="2" a="1"/>
  <c r="AA36" i="2" a="1"/>
  <c r="E20" i="2" a="1"/>
  <c r="EO20" i="2" a="1"/>
  <c r="CF49" i="2" a="1"/>
  <c r="G36" i="2" a="1"/>
  <c r="DN49" i="2" a="1"/>
  <c r="O49" i="2" a="1"/>
  <c r="EU20" i="2" a="1"/>
  <c r="AL36" i="2" a="1"/>
  <c r="DU36" i="2" a="1"/>
  <c r="EG49" i="2" a="1"/>
  <c r="DO36" i="2" a="1"/>
  <c r="BL36" i="2" a="1"/>
  <c r="CC20" i="2" a="1"/>
  <c r="DR36" i="2" a="1"/>
  <c r="BK20" i="2" a="1"/>
  <c r="AC36" i="2" a="1"/>
  <c r="CU20" i="2" a="1"/>
  <c r="DK20" i="2" a="1"/>
  <c r="EC20" i="2" a="1"/>
  <c r="AR20" i="2" a="1"/>
  <c r="AC49" i="2" a="1"/>
  <c r="EI36" i="2" a="1"/>
  <c r="DR20" i="2" a="1"/>
  <c r="EI20" i="2" a="1"/>
  <c r="AW36" i="2" a="1"/>
  <c r="Q20" i="2" a="1"/>
  <c r="AB20" i="2" a="1"/>
  <c r="ER36" i="2" a="1"/>
  <c r="AI36" i="2" a="1"/>
  <c r="CF36" i="2" a="1"/>
  <c r="M36" i="2" a="1"/>
  <c r="EX36" i="2" a="1"/>
  <c r="AO36" i="2" a="1"/>
  <c r="L49" i="2" a="1"/>
  <c r="DX49" i="2" a="1"/>
  <c r="CB20" i="2" a="1"/>
  <c r="CM20" i="2" a="1"/>
  <c r="DJ49" i="2" a="1"/>
  <c r="DQ36" i="2" a="1"/>
  <c r="EU36" i="2" a="1"/>
  <c r="BY20" i="2" a="1"/>
  <c r="M20" i="2" a="1"/>
  <c r="EY20" i="2" a="1"/>
  <c r="CD36" i="2" a="1"/>
  <c r="CM36" i="2" a="1"/>
  <c r="S36" i="2" a="1"/>
  <c r="BD49" i="2" a="1"/>
  <c r="EA49" i="2" a="1"/>
  <c r="EW20" i="2" a="1"/>
  <c r="AR49" i="2" a="1"/>
  <c r="BQ20" i="2" a="1"/>
  <c r="CO20" i="2" a="1"/>
  <c r="CH36" i="2" a="1"/>
  <c r="P49" i="2" a="1"/>
  <c r="DC49" i="2" a="1"/>
  <c r="DS49" i="2" a="1"/>
  <c r="EG36" i="2" a="1"/>
  <c r="BM20" i="2" a="1"/>
  <c r="J36" i="2" a="1"/>
  <c r="CL36" i="2" a="1"/>
  <c r="DY49" i="2" a="1"/>
  <c r="EM36" i="2" a="1"/>
  <c r="BS20" i="2" a="1"/>
  <c r="ES36" i="2" a="1"/>
  <c r="BE36" i="2" a="1"/>
  <c r="DO20" i="2" a="1"/>
  <c r="BF49" i="2" a="1"/>
  <c r="BS49" i="2" a="1"/>
  <c r="BL49" i="2" a="1"/>
  <c r="DU20" i="2" a="1"/>
  <c r="BM49" i="2" a="1"/>
  <c r="F36" i="2" a="1"/>
  <c r="EE49" i="2" a="1"/>
  <c r="AV49" i="2" a="1"/>
  <c r="CB36" i="2" a="1"/>
  <c r="Z49" i="2" a="1"/>
  <c r="DR49" i="2" a="1"/>
  <c r="CP20" i="2" a="1"/>
  <c r="BG49" i="2" a="1"/>
  <c r="AQ20" i="2" a="1"/>
  <c r="DA20" i="2" a="1"/>
  <c r="I20" i="2" a="1"/>
  <c r="CV20" i="2" a="1"/>
  <c r="V36" i="2" a="1"/>
  <c r="AX20" i="2" a="1"/>
  <c r="CT49" i="2" a="1"/>
  <c r="EO36" i="2" a="1"/>
  <c r="BR36" i="2" a="1"/>
  <c r="BX36" i="2" a="1"/>
  <c r="CV49" i="2" a="1"/>
  <c r="AQ36" i="2" a="1"/>
  <c r="O36" i="2" a="1"/>
  <c r="DM36" i="2" a="1"/>
  <c r="DC36" i="2" a="1"/>
  <c r="CQ20" i="2" a="1"/>
  <c r="AW49" i="2" a="1"/>
  <c r="CC49" i="2" a="1"/>
  <c r="DQ49" i="2" a="1"/>
  <c r="DI36" i="2" a="1"/>
  <c r="CW20" i="2" a="1"/>
  <c r="BJ49" i="2" a="1"/>
  <c r="BR49" i="2" a="1"/>
  <c r="N36" i="2" a="1"/>
  <c r="EI49" i="2" a="1"/>
  <c r="AY20" i="2" a="1"/>
  <c r="BQ49" i="2" a="1"/>
  <c r="N20" i="2" a="1"/>
  <c r="EV49" i="2" a="1"/>
  <c r="BE20" i="2" a="1"/>
  <c r="E36" i="2" a="1"/>
  <c r="CF20" i="2" a="1"/>
  <c r="BR20" i="2" a="1"/>
  <c r="I49" i="2" a="1"/>
  <c r="U36" i="2" a="1"/>
  <c r="BA20" i="2" a="1"/>
  <c r="EX20" i="2" a="1"/>
  <c r="CT36" i="2" a="1"/>
  <c r="AZ20" i="2" a="1"/>
  <c r="BO36" i="2" a="1"/>
  <c r="DE36" i="2" a="1"/>
  <c r="CM49" i="2" a="1"/>
  <c r="DA36" i="2" a="1"/>
  <c r="H36" i="2" a="1"/>
  <c r="CG49" i="2" a="1"/>
  <c r="EW36" i="2" a="1"/>
  <c r="AM36" i="2" a="1"/>
  <c r="CE49" i="2" a="1"/>
  <c r="X36" i="2" a="1"/>
  <c r="DF36" i="2" a="1"/>
  <c r="BC36" i="2" a="1"/>
  <c r="O20" i="2" a="1"/>
  <c r="DV20" i="2" a="1"/>
  <c r="CZ20" i="2" a="1"/>
  <c r="CY49" i="2" a="1"/>
  <c r="AO49" i="2" a="1"/>
  <c r="U49" i="2" a="1"/>
  <c r="DW20" i="2" a="1"/>
  <c r="DF20" i="2" a="1"/>
  <c r="DE49" i="2" a="1"/>
  <c r="AH20" i="2" a="1"/>
  <c r="AU49" i="2" a="1"/>
  <c r="AP49" i="2" a="1"/>
  <c r="EF36" i="2" a="1"/>
  <c r="CI36" i="2" a="1"/>
  <c r="Z36" i="2" a="1"/>
  <c r="J49" i="2" a="1"/>
  <c r="EL36" i="2" a="1"/>
  <c r="AH49" i="2" a="1"/>
  <c r="K20" i="2" a="1"/>
  <c r="BL20" i="2" a="1"/>
  <c r="BT20" i="2" a="1"/>
  <c r="G49" i="2" a="1"/>
  <c r="EJ36" i="2" a="1"/>
  <c r="CK36" i="2" a="1"/>
  <c r="CO49" i="2" a="1"/>
  <c r="DA49" i="2" a="1"/>
  <c r="EX49" i="2" a="1"/>
  <c r="CG20" i="2" a="1"/>
  <c r="BN49" i="2" a="1"/>
  <c r="FA20" i="2" a="1"/>
  <c r="DG49" i="2" a="1"/>
  <c r="CO36" i="2" a="1"/>
  <c r="CS49" i="2" a="1"/>
  <c r="AK36" i="2" a="1"/>
  <c r="DG20" i="2" a="1"/>
  <c r="BX49" i="2" a="1"/>
  <c r="AE36" i="2" a="1"/>
  <c r="CY20" i="2" a="1"/>
  <c r="DP20" i="2" a="1"/>
  <c r="AI49" i="2" a="1"/>
  <c r="DM49" i="2" a="1"/>
  <c r="CK20" i="2" a="1"/>
  <c r="CQ36" i="2" a="1"/>
  <c r="AO20" i="2" a="1"/>
  <c r="BC49" i="2" a="1"/>
  <c r="K36" i="2" a="1"/>
  <c r="BU49" i="2" a="1"/>
  <c r="CW36" i="2" a="1"/>
  <c r="AV20" i="2" a="1"/>
  <c r="BP49" i="2" a="1"/>
  <c r="BG20" i="2" a="1"/>
  <c r="DX20" i="2" a="1"/>
  <c r="EP20" i="2" a="1"/>
  <c r="CC36" i="2" a="1"/>
  <c r="F20" i="2" a="1"/>
  <c r="EE20" i="2" a="1"/>
  <c r="EV20" i="2" a="1"/>
  <c r="AN49" i="2" a="1"/>
  <c r="ES49" i="2" a="1"/>
  <c r="AU20" i="2" a="1"/>
  <c r="AE20" i="2" a="1"/>
  <c r="Y20" i="2" a="1"/>
  <c r="BA36" i="2" a="1"/>
  <c r="BJ20" i="2" a="1"/>
  <c r="DK49" i="2" a="1"/>
  <c r="EP36" i="2" a="1"/>
  <c r="ED20" i="2" a="1"/>
  <c r="AH36" i="2" a="1"/>
  <c r="CE20" i="2" a="1"/>
  <c r="DC20" i="2" a="1"/>
  <c r="EV36" i="2" a="1"/>
  <c r="EJ20" i="2" a="1"/>
  <c r="CN49" i="2" a="1"/>
  <c r="AG20" i="2" a="1"/>
  <c r="DU49" i="2" a="1"/>
  <c r="AP20" i="2" a="1"/>
  <c r="T49" i="2" a="1"/>
  <c r="DF49" i="2" a="1"/>
  <c r="DT36" i="2" a="1"/>
  <c r="AS20" i="2" a="1"/>
  <c r="CV36" i="2" a="1"/>
  <c r="CR49" i="2" a="1"/>
  <c r="EO49" i="2" a="1"/>
  <c r="BF36" i="2" a="1"/>
  <c r="AD36" i="2" a="1"/>
  <c r="ET49" i="2" a="1"/>
  <c r="BA49" i="2" a="1"/>
  <c r="FA49" i="2" a="1"/>
  <c r="BM36" i="2" a="1"/>
  <c r="AD49" i="2" a="1"/>
  <c r="M49" i="2" a="1"/>
  <c r="EF49" i="2" a="1"/>
  <c r="ET36" i="2" a="1"/>
  <c r="BD36" i="2" a="1"/>
  <c r="DW36" i="2" a="1"/>
  <c r="EL49" i="2" a="1"/>
  <c r="EZ36" i="2" a="1"/>
  <c r="BO49" i="2" a="1"/>
  <c r="EC36" i="2" a="1"/>
  <c r="V20" i="2" a="1"/>
  <c r="DH49" i="2" a="1"/>
  <c r="EY36" i="2" a="1"/>
  <c r="AN20" i="2" a="1"/>
  <c r="EL20" i="2" a="1"/>
  <c r="CU36" i="2" a="1"/>
  <c r="CA20" i="2" a="1"/>
  <c r="AX36" i="2" a="1"/>
  <c r="DB36" i="2" a="1"/>
  <c r="ES20" i="2" a="1"/>
  <c r="DH36" i="2" a="1"/>
  <c r="EQ36" i="2" a="1"/>
  <c r="AA20" i="2" a="1"/>
  <c r="DK36" i="2" a="1"/>
  <c r="BD20" i="2" a="1"/>
  <c r="W36" i="2" a="1"/>
  <c r="CP36" i="2" a="1"/>
  <c r="EH36" i="2" a="1"/>
  <c r="BY36" i="2" a="1"/>
  <c r="CS20" i="2" a="1"/>
  <c r="AZ36" i="2" a="1"/>
  <c r="EA20" i="2" a="1"/>
  <c r="AN36" i="2" a="1"/>
  <c r="S49" i="2" a="1"/>
  <c r="CQ49" i="2" a="1"/>
  <c r="BN20" i="2" a="1"/>
  <c r="EG20" i="2" a="1"/>
  <c r="BG36" i="2" a="1"/>
  <c r="Y49" i="2" a="1"/>
  <c r="EY49" i="2" a="1"/>
  <c r="DP36" i="2" a="1"/>
  <c r="DD20" i="2" a="1"/>
  <c r="BW49" i="2" a="1"/>
  <c r="EC49" i="2" a="1"/>
  <c r="DV36" i="2" a="1"/>
  <c r="DJ20" i="2" a="1"/>
  <c r="CI49" i="2" a="1"/>
  <c r="DY20" i="2" a="1"/>
  <c r="CA36" i="2" a="1"/>
  <c r="AJ49" i="2" a="1"/>
  <c r="CI20" i="2" a="1"/>
  <c r="CN36" i="2" a="1"/>
  <c r="ED36" i="2" a="1"/>
  <c r="CN20" i="2" a="1"/>
  <c r="AQ49" i="2" a="1"/>
  <c r="X49" i="2" a="1"/>
  <c r="AL49" i="2" a="1"/>
  <c r="AJ20" i="2" a="1"/>
  <c r="CT20" i="2" a="1"/>
  <c r="AX49" i="2" a="1"/>
  <c r="EJ49" i="2" a="1"/>
  <c r="W49" i="2" a="1"/>
  <c r="CP49" i="2" a="1"/>
  <c r="BZ20" i="2" a="1"/>
  <c r="I36" i="2" a="1"/>
  <c r="DT49" i="2" a="1"/>
  <c r="EM49" i="2" a="1"/>
  <c r="CE36" i="2" a="1"/>
  <c r="EB49" i="2" a="1"/>
  <c r="AG49" i="2" a="1"/>
  <c r="EE36" i="2" a="1"/>
  <c r="BX20" i="2" a="1"/>
  <c r="AD20" i="2" a="1"/>
  <c r="AV36" i="2" a="1"/>
  <c r="L20" i="2" a="1"/>
  <c r="EK36" i="2" a="1"/>
  <c r="CD20" i="2" a="1"/>
  <c r="K49" i="2" a="1"/>
  <c r="EQ49" i="2" a="1"/>
  <c r="DD36" i="2" a="1"/>
  <c r="BB20" i="2" a="1"/>
  <c r="AB49" i="2" a="1"/>
  <c r="AK49" i="2" a="1"/>
  <c r="DJ36" i="2" a="1"/>
  <c r="BI20" i="2" a="1"/>
  <c r="BK49" i="2" a="1"/>
  <c r="EW49" i="2" a="1"/>
  <c r="EF20" i="2" a="1"/>
  <c r="CH49" i="2" a="1"/>
  <c r="EZ49" i="2" a="1"/>
  <c r="AG36" i="2" a="1"/>
  <c r="BY49" i="2" a="1"/>
  <c r="DM20" i="2" a="1"/>
  <c r="E22" i="5" l="1"/>
  <c r="E23" i="5" s="1" a="1"/>
  <c r="E23" i="5" s="1"/>
  <c r="E24" i="5" s="1"/>
  <c r="D99" i="5"/>
  <c r="F100" i="5" s="1"/>
  <c r="D91" i="5"/>
  <c r="F91" i="5" s="1"/>
  <c r="J91" i="5" s="1" a="1"/>
  <c r="J91" i="5" s="1"/>
  <c r="G97" i="5"/>
  <c r="G81" i="5"/>
  <c r="G65" i="5"/>
  <c r="D95" i="5"/>
  <c r="F96" i="5" s="1"/>
  <c r="J96" i="5" s="1" a="1"/>
  <c r="J96" i="5" s="1"/>
  <c r="G96" i="5"/>
  <c r="G80" i="5"/>
  <c r="G64" i="5"/>
  <c r="D87" i="5"/>
  <c r="F89" i="5" s="1"/>
  <c r="J89" i="5" s="1" a="1"/>
  <c r="J89" i="5" s="1"/>
  <c r="F64" i="5"/>
  <c r="J64" i="5" s="1" a="1"/>
  <c r="J64" i="5" s="1"/>
  <c r="G93" i="5"/>
  <c r="G77" i="5"/>
  <c r="G61" i="5"/>
  <c r="D83" i="5"/>
  <c r="G92" i="5"/>
  <c r="G76" i="5"/>
  <c r="G60" i="5"/>
  <c r="D79" i="5"/>
  <c r="F81" i="5" s="1"/>
  <c r="J81" i="5" s="1" a="1"/>
  <c r="J81" i="5" s="1"/>
  <c r="G91" i="5"/>
  <c r="G75" i="5"/>
  <c r="G59" i="5"/>
  <c r="G79" i="5"/>
  <c r="D75" i="5"/>
  <c r="F75" i="5" s="1"/>
  <c r="J75" i="5" s="1" a="1"/>
  <c r="J75" i="5" s="1"/>
  <c r="G55" i="5"/>
  <c r="G89" i="5"/>
  <c r="G73" i="5"/>
  <c r="G95" i="5"/>
  <c r="G63" i="5"/>
  <c r="D71" i="5"/>
  <c r="G57" i="5"/>
  <c r="G88" i="5"/>
  <c r="G72" i="5"/>
  <c r="D67" i="5"/>
  <c r="G56" i="5"/>
  <c r="G87" i="5"/>
  <c r="G71" i="5"/>
  <c r="J100" i="5" a="1"/>
  <c r="J100" i="5" s="1"/>
  <c r="G101" i="5"/>
  <c r="G85" i="5"/>
  <c r="D59" i="5"/>
  <c r="G100" i="5"/>
  <c r="G84" i="5"/>
  <c r="G68" i="5"/>
  <c r="G69" i="5"/>
  <c r="D55" i="5"/>
  <c r="G99" i="5"/>
  <c r="G83" i="5"/>
  <c r="F65" i="5"/>
  <c r="J65" i="5" s="1" a="1"/>
  <c r="J65" i="5" s="1"/>
  <c r="F185" i="4"/>
  <c r="L118" i="4" a="1"/>
  <c r="L118" i="4" s="1"/>
  <c r="F41" i="4"/>
  <c r="F182" i="4"/>
  <c r="F38" i="4"/>
  <c r="D123" i="4"/>
  <c r="I123" i="4" s="1" a="1"/>
  <c r="I123" i="4" s="1"/>
  <c r="L117" i="4" a="1"/>
  <c r="L117" i="4" s="1"/>
  <c r="F175" i="4"/>
  <c r="M175" i="4" s="1" a="1"/>
  <c r="M175" i="4" s="1"/>
  <c r="F31" i="4"/>
  <c r="D118" i="4"/>
  <c r="I118" i="4" s="1" a="1"/>
  <c r="I118" i="4" s="1"/>
  <c r="D106" i="4"/>
  <c r="I106" i="4" s="1" a="1"/>
  <c r="I106" i="4" s="1"/>
  <c r="F137" i="4"/>
  <c r="V137" i="4" s="1"/>
  <c r="D181" i="4"/>
  <c r="I181" i="4" s="1" a="1"/>
  <c r="I181" i="4" s="1"/>
  <c r="F125" i="4"/>
  <c r="L93" i="4" a="1"/>
  <c r="L93" i="4" s="1"/>
  <c r="L82" i="4" a="1"/>
  <c r="L82" i="4" s="1"/>
  <c r="L70" i="4" a="1"/>
  <c r="L70" i="4" s="1"/>
  <c r="L58" i="4" a="1"/>
  <c r="L58" i="4" s="1"/>
  <c r="F37" i="4"/>
  <c r="F134" i="4"/>
  <c r="D82" i="4"/>
  <c r="I82" i="4" s="1" a="1"/>
  <c r="I82" i="4" s="1"/>
  <c r="L94" i="4" a="1"/>
  <c r="L94" i="4" s="1"/>
  <c r="L13" i="4" a="1"/>
  <c r="L13" i="4" s="1"/>
  <c r="L81" i="4" a="1"/>
  <c r="L81" i="4" s="1"/>
  <c r="L69" i="4" a="1"/>
  <c r="L69" i="4" s="1"/>
  <c r="L57" i="4" a="1"/>
  <c r="L57" i="4" s="1"/>
  <c r="F115" i="4"/>
  <c r="M115" i="4" s="1" a="1"/>
  <c r="M115" i="4" s="1"/>
  <c r="D75" i="4"/>
  <c r="I75" i="4" s="1" a="1"/>
  <c r="I75" i="4" s="1"/>
  <c r="L190" i="4" a="1"/>
  <c r="L190" i="4" s="1"/>
  <c r="F113" i="4"/>
  <c r="L46" i="4" a="1"/>
  <c r="L46" i="4" s="1"/>
  <c r="F25" i="4"/>
  <c r="L54" i="4" a="1"/>
  <c r="L54" i="4" s="1"/>
  <c r="F110" i="4"/>
  <c r="D70" i="4"/>
  <c r="I70" i="4" s="1" a="1"/>
  <c r="I70" i="4" s="1"/>
  <c r="F149" i="4"/>
  <c r="V149" i="4" s="1"/>
  <c r="L189" i="4" a="1"/>
  <c r="L189" i="4" s="1"/>
  <c r="L45" i="4" a="1"/>
  <c r="L45" i="4" s="1"/>
  <c r="F103" i="4"/>
  <c r="D63" i="4"/>
  <c r="I63" i="4" s="1" a="1"/>
  <c r="I63" i="4" s="1"/>
  <c r="L178" i="4" a="1"/>
  <c r="L178" i="4" s="1"/>
  <c r="F101" i="4"/>
  <c r="F98" i="4"/>
  <c r="D147" i="4"/>
  <c r="I147" i="4" s="1" a="1"/>
  <c r="I147" i="4" s="1"/>
  <c r="D58" i="4"/>
  <c r="I58" i="4" s="1" a="1"/>
  <c r="I58" i="4" s="1"/>
  <c r="K185" i="4" a="1"/>
  <c r="K185" i="4" s="1"/>
  <c r="K41" i="4" a="1"/>
  <c r="K41" i="4" s="1"/>
  <c r="F161" i="4"/>
  <c r="V161" i="4" s="1"/>
  <c r="L177" i="4" a="1"/>
  <c r="L177" i="4" s="1"/>
  <c r="L166" i="4" a="1"/>
  <c r="L166" i="4" s="1"/>
  <c r="F89" i="4"/>
  <c r="F77" i="4"/>
  <c r="F65" i="4"/>
  <c r="F33" i="4"/>
  <c r="F22" i="4"/>
  <c r="F74" i="4"/>
  <c r="D51" i="4"/>
  <c r="I51" i="4" s="1" a="1"/>
  <c r="I51" i="4" s="1"/>
  <c r="K173" i="4" a="1"/>
  <c r="K173" i="4" s="1"/>
  <c r="D94" i="4"/>
  <c r="I94" i="4" s="1" a="1"/>
  <c r="I94" i="4" s="1"/>
  <c r="F197" i="4"/>
  <c r="V197" i="4" s="1"/>
  <c r="L165" i="4" a="1"/>
  <c r="L165" i="4" s="1"/>
  <c r="L154" i="4" a="1"/>
  <c r="L154" i="4" s="1"/>
  <c r="L142" i="4" a="1"/>
  <c r="L142" i="4" s="1"/>
  <c r="L130" i="4" a="1"/>
  <c r="L130" i="4" s="1"/>
  <c r="F53" i="4"/>
  <c r="F21" i="4"/>
  <c r="F62" i="4"/>
  <c r="N62" i="4" s="1" a="1"/>
  <c r="N62" i="4" s="1"/>
  <c r="D135" i="4"/>
  <c r="I135" i="4" s="1" a="1"/>
  <c r="I135" i="4" s="1"/>
  <c r="D46" i="4"/>
  <c r="I46" i="4" s="1" a="1"/>
  <c r="I46" i="4" s="1"/>
  <c r="K161" i="4" a="1"/>
  <c r="K161" i="4" s="1"/>
  <c r="X195" i="4"/>
  <c r="V195" i="4"/>
  <c r="S195" i="4"/>
  <c r="U195" i="4"/>
  <c r="W195" i="4"/>
  <c r="T195" i="4"/>
  <c r="N195" i="4" a="1"/>
  <c r="N195" i="4" s="1"/>
  <c r="O195" i="4"/>
  <c r="Q195" i="4"/>
  <c r="P195" i="4"/>
  <c r="R195" i="4"/>
  <c r="M195" i="4" a="1"/>
  <c r="M195" i="4" s="1"/>
  <c r="X185" i="4"/>
  <c r="T185" i="4"/>
  <c r="V185" i="4"/>
  <c r="U185" i="4"/>
  <c r="S185" i="4"/>
  <c r="N185" i="4" a="1"/>
  <c r="N185" i="4" s="1"/>
  <c r="O185" i="4"/>
  <c r="Q185" i="4"/>
  <c r="W185" i="4"/>
  <c r="P185" i="4"/>
  <c r="R185" i="4"/>
  <c r="M185" i="4" a="1"/>
  <c r="M185" i="4" s="1"/>
  <c r="D97" i="4"/>
  <c r="I97" i="4" s="1" a="1"/>
  <c r="I97" i="4" s="1"/>
  <c r="L97" i="4" a="1"/>
  <c r="L97" i="4" s="1"/>
  <c r="K97" i="4" a="1"/>
  <c r="K97" i="4" s="1"/>
  <c r="F97" i="4"/>
  <c r="X51" i="4"/>
  <c r="V51" i="4"/>
  <c r="W51" i="4"/>
  <c r="S51" i="4"/>
  <c r="U51" i="4"/>
  <c r="T51" i="4"/>
  <c r="N51" i="4" a="1"/>
  <c r="N51" i="4" s="1"/>
  <c r="O51" i="4"/>
  <c r="Q51" i="4"/>
  <c r="P51" i="4"/>
  <c r="R51" i="4"/>
  <c r="M51" i="4" a="1"/>
  <c r="M51" i="4" s="1"/>
  <c r="X41" i="4"/>
  <c r="T41" i="4"/>
  <c r="S41" i="4"/>
  <c r="U41" i="4"/>
  <c r="V41" i="4"/>
  <c r="R41" i="4"/>
  <c r="N41" i="4" a="1"/>
  <c r="N41" i="4" s="1"/>
  <c r="W41" i="4"/>
  <c r="O41" i="4"/>
  <c r="Q41" i="4"/>
  <c r="P41" i="4"/>
  <c r="M41" i="4" a="1"/>
  <c r="M41" i="4" s="1"/>
  <c r="X53" i="4"/>
  <c r="T53" i="4"/>
  <c r="W53" i="4"/>
  <c r="V53" i="4"/>
  <c r="S53" i="4"/>
  <c r="U53" i="4"/>
  <c r="N53" i="4" a="1"/>
  <c r="N53" i="4" s="1"/>
  <c r="O53" i="4"/>
  <c r="Q53" i="4"/>
  <c r="P53" i="4"/>
  <c r="M53" i="4" a="1"/>
  <c r="M53" i="4" s="1"/>
  <c r="R53" i="4"/>
  <c r="X52" i="4"/>
  <c r="W52" i="4"/>
  <c r="V52" i="4"/>
  <c r="S52" i="4"/>
  <c r="U52" i="4"/>
  <c r="N52" i="4" a="1"/>
  <c r="N52" i="4" s="1"/>
  <c r="O52" i="4"/>
  <c r="Q52" i="4"/>
  <c r="T52" i="4"/>
  <c r="P52" i="4"/>
  <c r="R52" i="4"/>
  <c r="M52" i="4" a="1"/>
  <c r="M52" i="4" s="1"/>
  <c r="X184" i="4"/>
  <c r="V184" i="4"/>
  <c r="S184" i="4"/>
  <c r="U184" i="4"/>
  <c r="W184" i="4"/>
  <c r="N184" i="4" a="1"/>
  <c r="N184" i="4" s="1"/>
  <c r="O184" i="4"/>
  <c r="T184" i="4"/>
  <c r="Q184" i="4"/>
  <c r="P184" i="4"/>
  <c r="R184" i="4"/>
  <c r="M184" i="4" a="1"/>
  <c r="M184" i="4" s="1"/>
  <c r="L151" i="4" a="1"/>
  <c r="L151" i="4" s="1"/>
  <c r="K151" i="4" a="1"/>
  <c r="K151" i="4" s="1"/>
  <c r="F151" i="4"/>
  <c r="D151" i="4"/>
  <c r="I151" i="4" s="1" a="1"/>
  <c r="I151" i="4" s="1"/>
  <c r="L139" i="4" a="1"/>
  <c r="L139" i="4" s="1"/>
  <c r="K139" i="4" a="1"/>
  <c r="K139" i="4" s="1"/>
  <c r="F139" i="4"/>
  <c r="D139" i="4"/>
  <c r="I139" i="4" s="1" a="1"/>
  <c r="I139" i="4" s="1"/>
  <c r="D85" i="4"/>
  <c r="I85" i="4" s="1" a="1"/>
  <c r="I85" i="4" s="1"/>
  <c r="L85" i="4" a="1"/>
  <c r="L85" i="4" s="1"/>
  <c r="K85" i="4" a="1"/>
  <c r="K85" i="4" s="1"/>
  <c r="F85" i="4"/>
  <c r="D73" i="4"/>
  <c r="I73" i="4" s="1" a="1"/>
  <c r="I73" i="4" s="1"/>
  <c r="L73" i="4" a="1"/>
  <c r="L73" i="4" s="1"/>
  <c r="K73" i="4" a="1"/>
  <c r="K73" i="4" s="1"/>
  <c r="F73" i="4"/>
  <c r="D61" i="4"/>
  <c r="I61" i="4" s="1" a="1"/>
  <c r="I61" i="4" s="1"/>
  <c r="L61" i="4" a="1"/>
  <c r="L61" i="4" s="1"/>
  <c r="K61" i="4" a="1"/>
  <c r="K61" i="4" s="1"/>
  <c r="F61" i="4"/>
  <c r="X40" i="4"/>
  <c r="S40" i="4"/>
  <c r="U40" i="4"/>
  <c r="V40" i="4"/>
  <c r="W40" i="4"/>
  <c r="N40" i="4" a="1"/>
  <c r="N40" i="4" s="1"/>
  <c r="R40" i="4"/>
  <c r="O40" i="4"/>
  <c r="T40" i="4"/>
  <c r="Q40" i="4"/>
  <c r="P40" i="4"/>
  <c r="M40" i="4" a="1"/>
  <c r="M40" i="4" s="1"/>
  <c r="X30" i="4"/>
  <c r="W30" i="4"/>
  <c r="V30" i="4"/>
  <c r="T30" i="4"/>
  <c r="S30" i="4"/>
  <c r="U30" i="4"/>
  <c r="N30" i="4" a="1"/>
  <c r="N30" i="4" s="1"/>
  <c r="P30" i="4"/>
  <c r="O30" i="4"/>
  <c r="Q30" i="4"/>
  <c r="M30" i="4" a="1"/>
  <c r="M30" i="4" s="1"/>
  <c r="R30" i="4"/>
  <c r="X63" i="4"/>
  <c r="V63" i="4"/>
  <c r="S63" i="4"/>
  <c r="U63" i="4"/>
  <c r="W63" i="4"/>
  <c r="T63" i="4"/>
  <c r="N63" i="4" a="1"/>
  <c r="N63" i="4" s="1"/>
  <c r="O63" i="4"/>
  <c r="Q63" i="4"/>
  <c r="P63" i="4"/>
  <c r="R63" i="4"/>
  <c r="M63" i="4" a="1"/>
  <c r="M63" i="4" s="1"/>
  <c r="X183" i="4"/>
  <c r="V183" i="4"/>
  <c r="S183" i="4"/>
  <c r="U183" i="4"/>
  <c r="W183" i="4"/>
  <c r="T183" i="4"/>
  <c r="N183" i="4" a="1"/>
  <c r="N183" i="4" s="1"/>
  <c r="O183" i="4"/>
  <c r="Q183" i="4"/>
  <c r="P183" i="4"/>
  <c r="R183" i="4"/>
  <c r="M183" i="4" a="1"/>
  <c r="M183" i="4" s="1"/>
  <c r="X173" i="4"/>
  <c r="T173" i="4"/>
  <c r="V173" i="4"/>
  <c r="W173" i="4"/>
  <c r="U173" i="4"/>
  <c r="N173" i="4" a="1"/>
  <c r="N173" i="4" s="1"/>
  <c r="S173" i="4"/>
  <c r="O173" i="4"/>
  <c r="Q173" i="4"/>
  <c r="P173" i="4"/>
  <c r="R173" i="4"/>
  <c r="M173" i="4" a="1"/>
  <c r="M173" i="4" s="1"/>
  <c r="V39" i="4"/>
  <c r="X39" i="4"/>
  <c r="S39" i="4"/>
  <c r="U39" i="4"/>
  <c r="W39" i="4"/>
  <c r="T39" i="4"/>
  <c r="N39" i="4" a="1"/>
  <c r="N39" i="4" s="1"/>
  <c r="R39" i="4"/>
  <c r="O39" i="4"/>
  <c r="Q39" i="4"/>
  <c r="P39" i="4"/>
  <c r="M39" i="4" a="1"/>
  <c r="M39" i="4" s="1"/>
  <c r="X29" i="4"/>
  <c r="W29" i="4"/>
  <c r="T29" i="4"/>
  <c r="S29" i="4"/>
  <c r="V29" i="4"/>
  <c r="U29" i="4"/>
  <c r="N29" i="4" a="1"/>
  <c r="N29" i="4" s="1"/>
  <c r="P29" i="4"/>
  <c r="O29" i="4"/>
  <c r="Q29" i="4"/>
  <c r="R29" i="4"/>
  <c r="M29" i="4" a="1"/>
  <c r="M29" i="4" s="1"/>
  <c r="X75" i="4"/>
  <c r="V75" i="4"/>
  <c r="S75" i="4"/>
  <c r="U75" i="4"/>
  <c r="W75" i="4"/>
  <c r="T75" i="4"/>
  <c r="N75" i="4" a="1"/>
  <c r="N75" i="4" s="1"/>
  <c r="O75" i="4"/>
  <c r="Q75" i="4"/>
  <c r="P75" i="4"/>
  <c r="R75" i="4"/>
  <c r="M75" i="4" a="1"/>
  <c r="M75" i="4" s="1"/>
  <c r="X172" i="4"/>
  <c r="V172" i="4"/>
  <c r="W172" i="4"/>
  <c r="S172" i="4"/>
  <c r="U172" i="4"/>
  <c r="N172" i="4" a="1"/>
  <c r="N172" i="4" s="1"/>
  <c r="T172" i="4"/>
  <c r="O172" i="4"/>
  <c r="Q172" i="4"/>
  <c r="P172" i="4"/>
  <c r="R172" i="4"/>
  <c r="M172" i="4" a="1"/>
  <c r="M172" i="4" s="1"/>
  <c r="T149" i="4"/>
  <c r="T137" i="4"/>
  <c r="X17" i="4"/>
  <c r="W17" i="4"/>
  <c r="V17" i="4"/>
  <c r="T17" i="4"/>
  <c r="S17" i="4"/>
  <c r="U17" i="4"/>
  <c r="R17" i="4"/>
  <c r="P17" i="4"/>
  <c r="N17" i="4" a="1"/>
  <c r="N17" i="4" s="1"/>
  <c r="O17" i="4"/>
  <c r="Q17" i="4"/>
  <c r="M17" i="4" a="1"/>
  <c r="M17" i="4" s="1"/>
  <c r="X171" i="4"/>
  <c r="V171" i="4"/>
  <c r="W171" i="4"/>
  <c r="S171" i="4"/>
  <c r="U171" i="4"/>
  <c r="T171" i="4"/>
  <c r="N171" i="4" a="1"/>
  <c r="N171" i="4" s="1"/>
  <c r="O171" i="4"/>
  <c r="Q171" i="4"/>
  <c r="P171" i="4"/>
  <c r="R171" i="4"/>
  <c r="M171" i="4" a="1"/>
  <c r="M171" i="4" s="1"/>
  <c r="X160" i="4"/>
  <c r="V160" i="4"/>
  <c r="S160" i="4"/>
  <c r="U160" i="4"/>
  <c r="W160" i="4"/>
  <c r="N160" i="4" a="1"/>
  <c r="N160" i="4" s="1"/>
  <c r="T160" i="4"/>
  <c r="O160" i="4"/>
  <c r="Q160" i="4"/>
  <c r="P160" i="4"/>
  <c r="R160" i="4"/>
  <c r="M160" i="4" a="1"/>
  <c r="M160" i="4" s="1"/>
  <c r="X148" i="4"/>
  <c r="V148" i="4"/>
  <c r="S148" i="4"/>
  <c r="U148" i="4"/>
  <c r="W148" i="4"/>
  <c r="N148" i="4" a="1"/>
  <c r="N148" i="4" s="1"/>
  <c r="T148" i="4"/>
  <c r="O148" i="4"/>
  <c r="Q148" i="4"/>
  <c r="P148" i="4"/>
  <c r="R148" i="4"/>
  <c r="M148" i="4" a="1"/>
  <c r="M148" i="4" s="1"/>
  <c r="X136" i="4"/>
  <c r="V136" i="4"/>
  <c r="W136" i="4"/>
  <c r="S136" i="4"/>
  <c r="U136" i="4"/>
  <c r="N136" i="4" a="1"/>
  <c r="N136" i="4" s="1"/>
  <c r="T136" i="4"/>
  <c r="O136" i="4"/>
  <c r="Q136" i="4"/>
  <c r="P136" i="4"/>
  <c r="R136" i="4"/>
  <c r="M136" i="4" a="1"/>
  <c r="M136" i="4" s="1"/>
  <c r="X125" i="4"/>
  <c r="T125" i="4"/>
  <c r="V125" i="4"/>
  <c r="S125" i="4"/>
  <c r="U125" i="4"/>
  <c r="W125" i="4"/>
  <c r="N125" i="4" a="1"/>
  <c r="N125" i="4" s="1"/>
  <c r="O125" i="4"/>
  <c r="Q125" i="4"/>
  <c r="R125" i="4"/>
  <c r="P125" i="4"/>
  <c r="M125" i="4" a="1"/>
  <c r="M125" i="4" s="1"/>
  <c r="X37" i="4"/>
  <c r="W37" i="4"/>
  <c r="U37" i="4"/>
  <c r="R37" i="4"/>
  <c r="V37" i="4"/>
  <c r="T37" i="4"/>
  <c r="O37" i="4"/>
  <c r="Q37" i="4"/>
  <c r="P37" i="4"/>
  <c r="M37" i="4" a="1"/>
  <c r="M37" i="4" s="1"/>
  <c r="S37" i="4"/>
  <c r="N37" i="4" a="1"/>
  <c r="N37" i="4" s="1"/>
  <c r="X76" i="4"/>
  <c r="V76" i="4"/>
  <c r="S76" i="4"/>
  <c r="U76" i="4"/>
  <c r="W76" i="4"/>
  <c r="N76" i="4" a="1"/>
  <c r="N76" i="4" s="1"/>
  <c r="O76" i="4"/>
  <c r="Q76" i="4"/>
  <c r="T76" i="4"/>
  <c r="P76" i="4"/>
  <c r="R76" i="4"/>
  <c r="M76" i="4" a="1"/>
  <c r="M76" i="4" s="1"/>
  <c r="X87" i="4"/>
  <c r="V87" i="4"/>
  <c r="W87" i="4"/>
  <c r="S87" i="4"/>
  <c r="U87" i="4"/>
  <c r="T87" i="4"/>
  <c r="N87" i="4" a="1"/>
  <c r="N87" i="4" s="1"/>
  <c r="O87" i="4"/>
  <c r="Q87" i="4"/>
  <c r="P87" i="4"/>
  <c r="R87" i="4"/>
  <c r="M87" i="4" a="1"/>
  <c r="M87" i="4" s="1"/>
  <c r="X159" i="4"/>
  <c r="V159" i="4"/>
  <c r="S159" i="4"/>
  <c r="U159" i="4"/>
  <c r="W159" i="4"/>
  <c r="T159" i="4"/>
  <c r="N159" i="4" a="1"/>
  <c r="N159" i="4" s="1"/>
  <c r="O159" i="4"/>
  <c r="Q159" i="4"/>
  <c r="P159" i="4"/>
  <c r="R159" i="4"/>
  <c r="M159" i="4" a="1"/>
  <c r="M159" i="4" s="1"/>
  <c r="X147" i="4"/>
  <c r="V147" i="4"/>
  <c r="S147" i="4"/>
  <c r="U147" i="4"/>
  <c r="W147" i="4"/>
  <c r="T147" i="4"/>
  <c r="N147" i="4" a="1"/>
  <c r="N147" i="4" s="1"/>
  <c r="O147" i="4"/>
  <c r="Q147" i="4"/>
  <c r="P147" i="4"/>
  <c r="R147" i="4"/>
  <c r="M147" i="4" a="1"/>
  <c r="M147" i="4" s="1"/>
  <c r="X135" i="4"/>
  <c r="V135" i="4"/>
  <c r="W135" i="4"/>
  <c r="S135" i="4"/>
  <c r="U135" i="4"/>
  <c r="T135" i="4"/>
  <c r="N135" i="4" a="1"/>
  <c r="N135" i="4" s="1"/>
  <c r="O135" i="4"/>
  <c r="Q135" i="4"/>
  <c r="P135" i="4"/>
  <c r="R135" i="4"/>
  <c r="M135" i="4" a="1"/>
  <c r="M135" i="4" s="1"/>
  <c r="X124" i="4"/>
  <c r="V124" i="4"/>
  <c r="S124" i="4"/>
  <c r="U124" i="4"/>
  <c r="W124" i="4"/>
  <c r="T124" i="4"/>
  <c r="N124" i="4" a="1"/>
  <c r="N124" i="4" s="1"/>
  <c r="O124" i="4"/>
  <c r="Q124" i="4"/>
  <c r="P124" i="4"/>
  <c r="R124" i="4"/>
  <c r="M124" i="4" a="1"/>
  <c r="M124" i="4" s="1"/>
  <c r="X99" i="4"/>
  <c r="V99" i="4"/>
  <c r="S99" i="4"/>
  <c r="U99" i="4"/>
  <c r="W99" i="4"/>
  <c r="T99" i="4"/>
  <c r="N99" i="4" a="1"/>
  <c r="N99" i="4" s="1"/>
  <c r="O99" i="4"/>
  <c r="Q99" i="4"/>
  <c r="P99" i="4"/>
  <c r="R99" i="4"/>
  <c r="M99" i="4" a="1"/>
  <c r="M99" i="4" s="1"/>
  <c r="D169" i="4"/>
  <c r="I169" i="4" s="1" a="1"/>
  <c r="I169" i="4" s="1"/>
  <c r="L169" i="4" a="1"/>
  <c r="L169" i="4" s="1"/>
  <c r="K169" i="4" a="1"/>
  <c r="K169" i="4" s="1"/>
  <c r="F169" i="4"/>
  <c r="X123" i="4"/>
  <c r="V123" i="4"/>
  <c r="S123" i="4"/>
  <c r="U123" i="4"/>
  <c r="W123" i="4"/>
  <c r="T123" i="4"/>
  <c r="N123" i="4" a="1"/>
  <c r="N123" i="4" s="1"/>
  <c r="O123" i="4"/>
  <c r="Q123" i="4"/>
  <c r="P123" i="4"/>
  <c r="R123" i="4"/>
  <c r="M123" i="4" a="1"/>
  <c r="M123" i="4" s="1"/>
  <c r="X113" i="4"/>
  <c r="T113" i="4"/>
  <c r="V113" i="4"/>
  <c r="S113" i="4"/>
  <c r="U113" i="4"/>
  <c r="N113" i="4" a="1"/>
  <c r="N113" i="4" s="1"/>
  <c r="W113" i="4"/>
  <c r="O113" i="4"/>
  <c r="Q113" i="4"/>
  <c r="R113" i="4"/>
  <c r="P113" i="4"/>
  <c r="M113" i="4" a="1"/>
  <c r="M113" i="4" s="1"/>
  <c r="X64" i="4"/>
  <c r="V64" i="4"/>
  <c r="S64" i="4"/>
  <c r="U64" i="4"/>
  <c r="W64" i="4"/>
  <c r="N64" i="4" a="1"/>
  <c r="N64" i="4" s="1"/>
  <c r="O64" i="4"/>
  <c r="Q64" i="4"/>
  <c r="T64" i="4"/>
  <c r="P64" i="4"/>
  <c r="R64" i="4"/>
  <c r="M64" i="4" a="1"/>
  <c r="M64" i="4" s="1"/>
  <c r="D157" i="4"/>
  <c r="I157" i="4" s="1" a="1"/>
  <c r="I157" i="4" s="1"/>
  <c r="L157" i="4" a="1"/>
  <c r="L157" i="4" s="1"/>
  <c r="K157" i="4" a="1"/>
  <c r="K157" i="4" s="1"/>
  <c r="F157" i="4"/>
  <c r="D145" i="4"/>
  <c r="I145" i="4" s="1" a="1"/>
  <c r="I145" i="4" s="1"/>
  <c r="L145" i="4" a="1"/>
  <c r="L145" i="4" s="1"/>
  <c r="K145" i="4" a="1"/>
  <c r="K145" i="4" s="1"/>
  <c r="F145" i="4"/>
  <c r="D133" i="4"/>
  <c r="I133" i="4" s="1" a="1"/>
  <c r="I133" i="4" s="1"/>
  <c r="L133" i="4" a="1"/>
  <c r="L133" i="4" s="1"/>
  <c r="K133" i="4" a="1"/>
  <c r="K133" i="4" s="1"/>
  <c r="F133" i="4"/>
  <c r="X112" i="4"/>
  <c r="V112" i="4"/>
  <c r="S112" i="4"/>
  <c r="U112" i="4"/>
  <c r="W112" i="4"/>
  <c r="T112" i="4"/>
  <c r="N112" i="4" a="1"/>
  <c r="N112" i="4" s="1"/>
  <c r="O112" i="4"/>
  <c r="Q112" i="4"/>
  <c r="P112" i="4"/>
  <c r="R112" i="4"/>
  <c r="M112" i="4" a="1"/>
  <c r="M112" i="4" s="1"/>
  <c r="L79" i="4" a="1"/>
  <c r="L79" i="4" s="1"/>
  <c r="K79" i="4" a="1"/>
  <c r="K79" i="4" s="1"/>
  <c r="F79" i="4"/>
  <c r="D79" i="4"/>
  <c r="I79" i="4" s="1" a="1"/>
  <c r="I79" i="4" s="1"/>
  <c r="L67" i="4" a="1"/>
  <c r="L67" i="4" s="1"/>
  <c r="K67" i="4" a="1"/>
  <c r="K67" i="4" s="1"/>
  <c r="F67" i="4"/>
  <c r="D67" i="4"/>
  <c r="I67" i="4" s="1" a="1"/>
  <c r="I67" i="4" s="1"/>
  <c r="X196" i="4"/>
  <c r="V196" i="4"/>
  <c r="S196" i="4"/>
  <c r="U196" i="4"/>
  <c r="W196" i="4"/>
  <c r="N196" i="4" a="1"/>
  <c r="N196" i="4" s="1"/>
  <c r="O196" i="4"/>
  <c r="Q196" i="4"/>
  <c r="T196" i="4"/>
  <c r="P196" i="4"/>
  <c r="R196" i="4"/>
  <c r="M196" i="4" a="1"/>
  <c r="M196" i="4" s="1"/>
  <c r="X111" i="4"/>
  <c r="V111" i="4"/>
  <c r="S111" i="4"/>
  <c r="U111" i="4"/>
  <c r="W111" i="4"/>
  <c r="T111" i="4"/>
  <c r="N111" i="4" a="1"/>
  <c r="N111" i="4" s="1"/>
  <c r="O111" i="4"/>
  <c r="Q111" i="4"/>
  <c r="P111" i="4"/>
  <c r="R111" i="4"/>
  <c r="M111" i="4" a="1"/>
  <c r="M111" i="4" s="1"/>
  <c r="X101" i="4"/>
  <c r="T101" i="4"/>
  <c r="V101" i="4"/>
  <c r="S101" i="4"/>
  <c r="U101" i="4"/>
  <c r="W101" i="4"/>
  <c r="N101" i="4" a="1"/>
  <c r="N101" i="4" s="1"/>
  <c r="O101" i="4"/>
  <c r="Q101" i="4"/>
  <c r="R101" i="4"/>
  <c r="P101" i="4"/>
  <c r="M101" i="4" a="1"/>
  <c r="M101" i="4" s="1"/>
  <c r="X88" i="4"/>
  <c r="V88" i="4"/>
  <c r="W88" i="4"/>
  <c r="S88" i="4"/>
  <c r="U88" i="4"/>
  <c r="N88" i="4" a="1"/>
  <c r="N88" i="4" s="1"/>
  <c r="O88" i="4"/>
  <c r="Q88" i="4"/>
  <c r="P88" i="4"/>
  <c r="T88" i="4"/>
  <c r="R88" i="4"/>
  <c r="M88" i="4" a="1"/>
  <c r="M88" i="4" s="1"/>
  <c r="X100" i="4"/>
  <c r="V100" i="4"/>
  <c r="S100" i="4"/>
  <c r="U100" i="4"/>
  <c r="W100" i="4"/>
  <c r="N100" i="4" a="1"/>
  <c r="N100" i="4" s="1"/>
  <c r="O100" i="4"/>
  <c r="Q100" i="4"/>
  <c r="P100" i="4"/>
  <c r="R100" i="4"/>
  <c r="T100" i="4"/>
  <c r="M100" i="4" a="1"/>
  <c r="M100" i="4" s="1"/>
  <c r="X89" i="4"/>
  <c r="T89" i="4"/>
  <c r="V89" i="4"/>
  <c r="W89" i="4"/>
  <c r="S89" i="4"/>
  <c r="U89" i="4"/>
  <c r="N89" i="4" a="1"/>
  <c r="N89" i="4" s="1"/>
  <c r="O89" i="4"/>
  <c r="Q89" i="4"/>
  <c r="M89" i="4" a="1"/>
  <c r="M89" i="4" s="1"/>
  <c r="R89" i="4"/>
  <c r="P89" i="4"/>
  <c r="X77" i="4"/>
  <c r="T77" i="4"/>
  <c r="V77" i="4"/>
  <c r="S77" i="4"/>
  <c r="U77" i="4"/>
  <c r="N77" i="4" a="1"/>
  <c r="N77" i="4" s="1"/>
  <c r="W77" i="4"/>
  <c r="O77" i="4"/>
  <c r="Q77" i="4"/>
  <c r="P77" i="4"/>
  <c r="M77" i="4" a="1"/>
  <c r="M77" i="4" s="1"/>
  <c r="R77" i="4"/>
  <c r="X65" i="4"/>
  <c r="T65" i="4"/>
  <c r="V65" i="4"/>
  <c r="S65" i="4"/>
  <c r="U65" i="4"/>
  <c r="W65" i="4"/>
  <c r="N65" i="4" a="1"/>
  <c r="N65" i="4" s="1"/>
  <c r="O65" i="4"/>
  <c r="Q65" i="4"/>
  <c r="M65" i="4" a="1"/>
  <c r="M65" i="4" s="1"/>
  <c r="P65" i="4"/>
  <c r="R65" i="4"/>
  <c r="AD198" i="4"/>
  <c r="AC198" i="4"/>
  <c r="AA198" i="4"/>
  <c r="Y198" i="4"/>
  <c r="AB198" i="4"/>
  <c r="Z198" i="4"/>
  <c r="AD126" i="4"/>
  <c r="AC126" i="4"/>
  <c r="AB126" i="4"/>
  <c r="Z126" i="4"/>
  <c r="Y126" i="4"/>
  <c r="AA126" i="4"/>
  <c r="AD66" i="4"/>
  <c r="AC66" i="4"/>
  <c r="AB66" i="4"/>
  <c r="Z66" i="4"/>
  <c r="AA66" i="4"/>
  <c r="Y66" i="4"/>
  <c r="X170" i="4"/>
  <c r="W170" i="4"/>
  <c r="U170" i="4"/>
  <c r="T170" i="4"/>
  <c r="O170" i="4"/>
  <c r="Q170" i="4"/>
  <c r="S170" i="4"/>
  <c r="P170" i="4"/>
  <c r="R170" i="4"/>
  <c r="X110" i="4"/>
  <c r="W110" i="4"/>
  <c r="S110" i="4"/>
  <c r="U110" i="4"/>
  <c r="T110" i="4"/>
  <c r="O110" i="4"/>
  <c r="Q110" i="4"/>
  <c r="V110" i="4"/>
  <c r="P110" i="4"/>
  <c r="R110" i="4"/>
  <c r="AD197" i="4"/>
  <c r="AC197" i="4"/>
  <c r="AB197" i="4"/>
  <c r="AA197" i="4"/>
  <c r="Y197" i="4"/>
  <c r="Z197" i="4"/>
  <c r="AD185" i="4"/>
  <c r="AC185" i="4"/>
  <c r="AB185" i="4"/>
  <c r="AA185" i="4"/>
  <c r="Y185" i="4"/>
  <c r="Z185" i="4"/>
  <c r="AD173" i="4"/>
  <c r="AC173" i="4"/>
  <c r="AB173" i="4"/>
  <c r="AA173" i="4"/>
  <c r="Z173" i="4"/>
  <c r="Y173" i="4"/>
  <c r="AD161" i="4"/>
  <c r="AC161" i="4"/>
  <c r="AB161" i="4"/>
  <c r="AA161" i="4"/>
  <c r="Z161" i="4"/>
  <c r="Y161" i="4"/>
  <c r="AD149" i="4"/>
  <c r="AC149" i="4"/>
  <c r="AB149" i="4"/>
  <c r="AA149" i="4"/>
  <c r="Y149" i="4"/>
  <c r="Z149" i="4"/>
  <c r="AD137" i="4"/>
  <c r="AC137" i="4"/>
  <c r="AB137" i="4"/>
  <c r="AA137" i="4"/>
  <c r="Y137" i="4"/>
  <c r="Z137" i="4"/>
  <c r="AD125" i="4"/>
  <c r="AC125" i="4"/>
  <c r="AB125" i="4"/>
  <c r="AA125" i="4"/>
  <c r="Z125" i="4"/>
  <c r="Y125" i="4"/>
  <c r="AD113" i="4"/>
  <c r="AC113" i="4"/>
  <c r="AB113" i="4"/>
  <c r="AA113" i="4"/>
  <c r="Z113" i="4"/>
  <c r="Y113" i="4"/>
  <c r="AD101" i="4"/>
  <c r="AC101" i="4"/>
  <c r="AB101" i="4"/>
  <c r="AA101" i="4"/>
  <c r="Y101" i="4"/>
  <c r="Z101" i="4"/>
  <c r="AD89" i="4"/>
  <c r="AC89" i="4"/>
  <c r="AB89" i="4"/>
  <c r="AA89" i="4"/>
  <c r="Y89" i="4"/>
  <c r="Z89" i="4"/>
  <c r="AD77" i="4"/>
  <c r="AC77" i="4"/>
  <c r="AB77" i="4"/>
  <c r="AA77" i="4"/>
  <c r="Z77" i="4"/>
  <c r="Y77" i="4"/>
  <c r="AD65" i="4"/>
  <c r="AC65" i="4"/>
  <c r="AB65" i="4"/>
  <c r="AA65" i="4"/>
  <c r="Z65" i="4"/>
  <c r="Y65" i="4"/>
  <c r="AD53" i="4"/>
  <c r="AC53" i="4"/>
  <c r="AB53" i="4"/>
  <c r="AA53" i="4"/>
  <c r="Y53" i="4"/>
  <c r="Z53" i="4"/>
  <c r="AD41" i="4"/>
  <c r="AC41" i="4"/>
  <c r="AB41" i="4"/>
  <c r="AA41" i="4"/>
  <c r="Y41" i="4"/>
  <c r="Z41" i="4"/>
  <c r="F193" i="4"/>
  <c r="F181" i="4"/>
  <c r="F121" i="4"/>
  <c r="F109" i="4"/>
  <c r="F49" i="4"/>
  <c r="D13" i="4"/>
  <c r="I13" i="4" s="1" a="1"/>
  <c r="I13" i="4" s="1"/>
  <c r="D189" i="4"/>
  <c r="I189" i="4" s="1" a="1"/>
  <c r="I189" i="4" s="1"/>
  <c r="D177" i="4"/>
  <c r="I177" i="4" s="1" a="1"/>
  <c r="I177" i="4" s="1"/>
  <c r="D165" i="4"/>
  <c r="I165" i="4" s="1" a="1"/>
  <c r="I165" i="4" s="1"/>
  <c r="D153" i="4"/>
  <c r="I153" i="4" s="1" a="1"/>
  <c r="I153" i="4" s="1"/>
  <c r="D141" i="4"/>
  <c r="I141" i="4" s="1" a="1"/>
  <c r="I141" i="4" s="1"/>
  <c r="D129" i="4"/>
  <c r="I129" i="4" s="1" a="1"/>
  <c r="I129" i="4" s="1"/>
  <c r="D117" i="4"/>
  <c r="I117" i="4" s="1" a="1"/>
  <c r="I117" i="4" s="1"/>
  <c r="D105" i="4"/>
  <c r="I105" i="4" s="1" a="1"/>
  <c r="I105" i="4" s="1"/>
  <c r="D93" i="4"/>
  <c r="I93" i="4" s="1" a="1"/>
  <c r="I93" i="4" s="1"/>
  <c r="D81" i="4"/>
  <c r="I81" i="4" s="1" a="1"/>
  <c r="I81" i="4" s="1"/>
  <c r="D69" i="4"/>
  <c r="I69" i="4" s="1" a="1"/>
  <c r="I69" i="4" s="1"/>
  <c r="D57" i="4"/>
  <c r="I57" i="4" s="1" a="1"/>
  <c r="I57" i="4" s="1"/>
  <c r="D45" i="4"/>
  <c r="I45" i="4" s="1" a="1"/>
  <c r="I45" i="4" s="1"/>
  <c r="L197" i="4" a="1"/>
  <c r="L197" i="4" s="1"/>
  <c r="L185" i="4" a="1"/>
  <c r="L185" i="4" s="1"/>
  <c r="L173" i="4" a="1"/>
  <c r="L173" i="4" s="1"/>
  <c r="L161" i="4" a="1"/>
  <c r="L161" i="4" s="1"/>
  <c r="L149" i="4" a="1"/>
  <c r="L149" i="4" s="1"/>
  <c r="L137" i="4" a="1"/>
  <c r="L137" i="4" s="1"/>
  <c r="L125" i="4" a="1"/>
  <c r="L125" i="4" s="1"/>
  <c r="L113" i="4" a="1"/>
  <c r="L113" i="4" s="1"/>
  <c r="L101" i="4" a="1"/>
  <c r="L101" i="4" s="1"/>
  <c r="L89" i="4" a="1"/>
  <c r="L89" i="4" s="1"/>
  <c r="L77" i="4" a="1"/>
  <c r="L77" i="4" s="1"/>
  <c r="L65" i="4" a="1"/>
  <c r="L65" i="4" s="1"/>
  <c r="L53" i="4" a="1"/>
  <c r="L53" i="4" s="1"/>
  <c r="L41" i="4" a="1"/>
  <c r="L41" i="4" s="1"/>
  <c r="K196" i="4" a="1"/>
  <c r="K196" i="4" s="1"/>
  <c r="K184" i="4" a="1"/>
  <c r="K184" i="4" s="1"/>
  <c r="K172" i="4" a="1"/>
  <c r="K172" i="4" s="1"/>
  <c r="K160" i="4" a="1"/>
  <c r="K160" i="4" s="1"/>
  <c r="K148" i="4" a="1"/>
  <c r="K148" i="4" s="1"/>
  <c r="K136" i="4" a="1"/>
  <c r="K136" i="4" s="1"/>
  <c r="K124" i="4" a="1"/>
  <c r="K124" i="4" s="1"/>
  <c r="K112" i="4" a="1"/>
  <c r="K112" i="4" s="1"/>
  <c r="K100" i="4" a="1"/>
  <c r="K100" i="4" s="1"/>
  <c r="K88" i="4" a="1"/>
  <c r="K88" i="4" s="1"/>
  <c r="K76" i="4" a="1"/>
  <c r="K76" i="4" s="1"/>
  <c r="K64" i="4" a="1"/>
  <c r="K64" i="4" s="1"/>
  <c r="K52" i="4" a="1"/>
  <c r="K52" i="4" s="1"/>
  <c r="K40" i="4" a="1"/>
  <c r="K40" i="4" s="1"/>
  <c r="AD186" i="4"/>
  <c r="AC186" i="4"/>
  <c r="Z186" i="4"/>
  <c r="AA186" i="4"/>
  <c r="Y186" i="4"/>
  <c r="AB186" i="4"/>
  <c r="AD138" i="4"/>
  <c r="AC138" i="4"/>
  <c r="Z138" i="4"/>
  <c r="Y138" i="4"/>
  <c r="AA138" i="4"/>
  <c r="AB138" i="4"/>
  <c r="AD78" i="4"/>
  <c r="AC78" i="4"/>
  <c r="AB78" i="4"/>
  <c r="Z78" i="4"/>
  <c r="Y78" i="4"/>
  <c r="AA78" i="4"/>
  <c r="AD42" i="4"/>
  <c r="AC42" i="4"/>
  <c r="AB42" i="4"/>
  <c r="Z42" i="4"/>
  <c r="Y42" i="4"/>
  <c r="AA42" i="4"/>
  <c r="F194" i="4"/>
  <c r="X134" i="4"/>
  <c r="W134" i="4"/>
  <c r="S134" i="4"/>
  <c r="U134" i="4"/>
  <c r="T134" i="4"/>
  <c r="O134" i="4"/>
  <c r="Q134" i="4"/>
  <c r="P134" i="4"/>
  <c r="V134" i="4"/>
  <c r="R134" i="4"/>
  <c r="X74" i="4"/>
  <c r="W74" i="4"/>
  <c r="S74" i="4"/>
  <c r="U74" i="4"/>
  <c r="T74" i="4"/>
  <c r="V74" i="4"/>
  <c r="O74" i="4"/>
  <c r="Q74" i="4"/>
  <c r="P74" i="4"/>
  <c r="R74" i="4"/>
  <c r="M74" i="4" a="1"/>
  <c r="M74" i="4" s="1"/>
  <c r="F14" i="4"/>
  <c r="L174" i="4" a="1"/>
  <c r="L174" i="4" s="1"/>
  <c r="L126" i="4" a="1"/>
  <c r="L126" i="4" s="1"/>
  <c r="L78" i="4" a="1"/>
  <c r="L78" i="4" s="1"/>
  <c r="Z196" i="4"/>
  <c r="AD196" i="4"/>
  <c r="AC196" i="4"/>
  <c r="AA196" i="4"/>
  <c r="Y196" i="4"/>
  <c r="AB196" i="4"/>
  <c r="Z184" i="4"/>
  <c r="AA184" i="4"/>
  <c r="Y184" i="4"/>
  <c r="AD184" i="4"/>
  <c r="AC184" i="4"/>
  <c r="AB184" i="4"/>
  <c r="Z172" i="4"/>
  <c r="AD172" i="4"/>
  <c r="AC172" i="4"/>
  <c r="AB172" i="4"/>
  <c r="AA172" i="4"/>
  <c r="Y172" i="4"/>
  <c r="Z160" i="4"/>
  <c r="AB160" i="4"/>
  <c r="AD160" i="4"/>
  <c r="AC160" i="4"/>
  <c r="Y160" i="4"/>
  <c r="AA160" i="4"/>
  <c r="Z148" i="4"/>
  <c r="Y148" i="4"/>
  <c r="AD148" i="4"/>
  <c r="AC148" i="4"/>
  <c r="AA148" i="4"/>
  <c r="AB148" i="4"/>
  <c r="Z136" i="4"/>
  <c r="Y136" i="4"/>
  <c r="AA136" i="4"/>
  <c r="AD136" i="4"/>
  <c r="AC136" i="4"/>
  <c r="AB136" i="4"/>
  <c r="Z124" i="4"/>
  <c r="AC124" i="4"/>
  <c r="AB124" i="4"/>
  <c r="AD124" i="4"/>
  <c r="Y124" i="4"/>
  <c r="AA124" i="4"/>
  <c r="Z112" i="4"/>
  <c r="AC112" i="4"/>
  <c r="AB112" i="4"/>
  <c r="Y112" i="4"/>
  <c r="AD112" i="4"/>
  <c r="AA112" i="4"/>
  <c r="Z100" i="4"/>
  <c r="AC100" i="4"/>
  <c r="AB100" i="4"/>
  <c r="AA100" i="4"/>
  <c r="AD100" i="4"/>
  <c r="Y100" i="4"/>
  <c r="Z88" i="4"/>
  <c r="AD88" i="4"/>
  <c r="Y88" i="4"/>
  <c r="AA88" i="4"/>
  <c r="AC88" i="4"/>
  <c r="AB88" i="4"/>
  <c r="Z76" i="4"/>
  <c r="AC76" i="4"/>
  <c r="AB76" i="4"/>
  <c r="Y76" i="4"/>
  <c r="AD76" i="4"/>
  <c r="AA76" i="4"/>
  <c r="Z64" i="4"/>
  <c r="AD64" i="4"/>
  <c r="AC64" i="4"/>
  <c r="AB64" i="4"/>
  <c r="Y64" i="4"/>
  <c r="AA64" i="4"/>
  <c r="Z52" i="4"/>
  <c r="AC52" i="4"/>
  <c r="AB52" i="4"/>
  <c r="AA52" i="4"/>
  <c r="Y52" i="4"/>
  <c r="AD52" i="4"/>
  <c r="AD40" i="4"/>
  <c r="Z40" i="4"/>
  <c r="Y40" i="4"/>
  <c r="AA40" i="4"/>
  <c r="AC40" i="4"/>
  <c r="AB40" i="4"/>
  <c r="F192" i="4"/>
  <c r="F180" i="4"/>
  <c r="F168" i="4"/>
  <c r="F156" i="4"/>
  <c r="F144" i="4"/>
  <c r="F132" i="4"/>
  <c r="F120" i="4"/>
  <c r="F108" i="4"/>
  <c r="F96" i="4"/>
  <c r="F84" i="4"/>
  <c r="F72" i="4"/>
  <c r="F60" i="4"/>
  <c r="F48" i="4"/>
  <c r="F36" i="4"/>
  <c r="D200" i="4"/>
  <c r="I200" i="4" s="1" a="1"/>
  <c r="I200" i="4" s="1"/>
  <c r="D188" i="4"/>
  <c r="I188" i="4" s="1" a="1"/>
  <c r="I188" i="4" s="1"/>
  <c r="D176" i="4"/>
  <c r="I176" i="4" s="1" a="1"/>
  <c r="I176" i="4" s="1"/>
  <c r="D164" i="4"/>
  <c r="I164" i="4" s="1" a="1"/>
  <c r="I164" i="4" s="1"/>
  <c r="D152" i="4"/>
  <c r="I152" i="4" s="1" a="1"/>
  <c r="I152" i="4" s="1"/>
  <c r="D140" i="4"/>
  <c r="I140" i="4" s="1" a="1"/>
  <c r="I140" i="4" s="1"/>
  <c r="D128" i="4"/>
  <c r="I128" i="4" s="1" a="1"/>
  <c r="I128" i="4" s="1"/>
  <c r="D116" i="4"/>
  <c r="I116" i="4" s="1" a="1"/>
  <c r="I116" i="4" s="1"/>
  <c r="D104" i="4"/>
  <c r="I104" i="4" s="1" a="1"/>
  <c r="I104" i="4" s="1"/>
  <c r="D92" i="4"/>
  <c r="I92" i="4" s="1" a="1"/>
  <c r="I92" i="4" s="1"/>
  <c r="D80" i="4"/>
  <c r="I80" i="4" s="1" a="1"/>
  <c r="I80" i="4" s="1"/>
  <c r="D68" i="4"/>
  <c r="I68" i="4" s="1" a="1"/>
  <c r="I68" i="4" s="1"/>
  <c r="D56" i="4"/>
  <c r="I56" i="4" s="1" a="1"/>
  <c r="I56" i="4" s="1"/>
  <c r="D44" i="4"/>
  <c r="I44" i="4" s="1" a="1"/>
  <c r="I44" i="4" s="1"/>
  <c r="D31" i="4"/>
  <c r="I31" i="4" s="1" a="1"/>
  <c r="I31" i="4" s="1"/>
  <c r="L196" i="4" a="1"/>
  <c r="L196" i="4" s="1"/>
  <c r="L184" i="4" a="1"/>
  <c r="L184" i="4" s="1"/>
  <c r="L172" i="4" a="1"/>
  <c r="L172" i="4" s="1"/>
  <c r="L160" i="4" a="1"/>
  <c r="L160" i="4" s="1"/>
  <c r="L148" i="4" a="1"/>
  <c r="L148" i="4" s="1"/>
  <c r="L136" i="4" a="1"/>
  <c r="L136" i="4" s="1"/>
  <c r="L124" i="4" a="1"/>
  <c r="L124" i="4" s="1"/>
  <c r="L112" i="4" a="1"/>
  <c r="L112" i="4" s="1"/>
  <c r="L100" i="4" a="1"/>
  <c r="L100" i="4" s="1"/>
  <c r="L88" i="4" a="1"/>
  <c r="L88" i="4" s="1"/>
  <c r="L76" i="4" a="1"/>
  <c r="L76" i="4" s="1"/>
  <c r="L64" i="4" a="1"/>
  <c r="L64" i="4" s="1"/>
  <c r="L52" i="4" a="1"/>
  <c r="L52" i="4" s="1"/>
  <c r="L40" i="4" a="1"/>
  <c r="L40" i="4" s="1"/>
  <c r="K195" i="4" a="1"/>
  <c r="K195" i="4" s="1"/>
  <c r="K183" i="4" a="1"/>
  <c r="K183" i="4" s="1"/>
  <c r="K171" i="4" a="1"/>
  <c r="K171" i="4" s="1"/>
  <c r="K159" i="4" a="1"/>
  <c r="K159" i="4" s="1"/>
  <c r="K147" i="4" a="1"/>
  <c r="K147" i="4" s="1"/>
  <c r="K135" i="4" a="1"/>
  <c r="K135" i="4" s="1"/>
  <c r="K123" i="4" a="1"/>
  <c r="K123" i="4" s="1"/>
  <c r="K111" i="4" a="1"/>
  <c r="K111" i="4" s="1"/>
  <c r="K99" i="4" a="1"/>
  <c r="K99" i="4" s="1"/>
  <c r="K87" i="4" a="1"/>
  <c r="K87" i="4" s="1"/>
  <c r="K75" i="4" a="1"/>
  <c r="K75" i="4" s="1"/>
  <c r="K63" i="4" a="1"/>
  <c r="K63" i="4" s="1"/>
  <c r="K51" i="4" a="1"/>
  <c r="K51" i="4" s="1"/>
  <c r="K39" i="4" a="1"/>
  <c r="K39" i="4" s="1"/>
  <c r="N134" i="4" a="1"/>
  <c r="N134" i="4" s="1"/>
  <c r="AD162" i="4"/>
  <c r="AC162" i="4"/>
  <c r="Y162" i="4"/>
  <c r="AB162" i="4"/>
  <c r="Z162" i="4"/>
  <c r="AA162" i="4"/>
  <c r="AD102" i="4"/>
  <c r="AC102" i="4"/>
  <c r="AB102" i="4"/>
  <c r="Y102" i="4"/>
  <c r="AA102" i="4"/>
  <c r="Z102" i="4"/>
  <c r="AD18" i="4"/>
  <c r="AC18" i="4"/>
  <c r="AB18" i="4"/>
  <c r="AA18" i="4"/>
  <c r="Y18" i="4"/>
  <c r="Z18" i="4"/>
  <c r="X146" i="4"/>
  <c r="W146" i="4"/>
  <c r="S146" i="4"/>
  <c r="U146" i="4"/>
  <c r="T146" i="4"/>
  <c r="O146" i="4"/>
  <c r="Q146" i="4"/>
  <c r="P146" i="4"/>
  <c r="R146" i="4"/>
  <c r="V146" i="4"/>
  <c r="F86" i="4"/>
  <c r="F50" i="4"/>
  <c r="L186" i="4" a="1"/>
  <c r="L186" i="4" s="1"/>
  <c r="L138" i="4" a="1"/>
  <c r="L138" i="4" s="1"/>
  <c r="L102" i="4" a="1"/>
  <c r="L102" i="4" s="1"/>
  <c r="L66" i="4" a="1"/>
  <c r="L66" i="4" s="1"/>
  <c r="N74" i="4" a="1"/>
  <c r="N74" i="4" s="1"/>
  <c r="AD195" i="4"/>
  <c r="AC195" i="4"/>
  <c r="AA195" i="4"/>
  <c r="Y195" i="4"/>
  <c r="AB195" i="4"/>
  <c r="Z195" i="4"/>
  <c r="AA183" i="4"/>
  <c r="Y183" i="4"/>
  <c r="AD183" i="4"/>
  <c r="AC183" i="4"/>
  <c r="AB183" i="4"/>
  <c r="Z183" i="4"/>
  <c r="AD171" i="4"/>
  <c r="AC171" i="4"/>
  <c r="AB171" i="4"/>
  <c r="Z171" i="4"/>
  <c r="AA171" i="4"/>
  <c r="Y171" i="4"/>
  <c r="AB159" i="4"/>
  <c r="Z159" i="4"/>
  <c r="AD159" i="4"/>
  <c r="AC159" i="4"/>
  <c r="Y159" i="4"/>
  <c r="AA159" i="4"/>
  <c r="AD147" i="4"/>
  <c r="AC147" i="4"/>
  <c r="AA147" i="4"/>
  <c r="AB147" i="4"/>
  <c r="Z147" i="4"/>
  <c r="Y147" i="4"/>
  <c r="Y135" i="4"/>
  <c r="AA135" i="4"/>
  <c r="AD135" i="4"/>
  <c r="AC135" i="4"/>
  <c r="Z135" i="4"/>
  <c r="AB135" i="4"/>
  <c r="AC123" i="4"/>
  <c r="AB123" i="4"/>
  <c r="AD123" i="4"/>
  <c r="Z123" i="4"/>
  <c r="Y123" i="4"/>
  <c r="AA123" i="4"/>
  <c r="Z111" i="4"/>
  <c r="AC111" i="4"/>
  <c r="AB111" i="4"/>
  <c r="Y111" i="4"/>
  <c r="AD111" i="4"/>
  <c r="AA111" i="4"/>
  <c r="AC99" i="4"/>
  <c r="AB99" i="4"/>
  <c r="AA99" i="4"/>
  <c r="AD99" i="4"/>
  <c r="Z99" i="4"/>
  <c r="Y99" i="4"/>
  <c r="Y87" i="4"/>
  <c r="AA87" i="4"/>
  <c r="AC87" i="4"/>
  <c r="AB87" i="4"/>
  <c r="AD87" i="4"/>
  <c r="Z87" i="4"/>
  <c r="AD75" i="4"/>
  <c r="AC75" i="4"/>
  <c r="AB75" i="4"/>
  <c r="Z75" i="4"/>
  <c r="Y75" i="4"/>
  <c r="AA75" i="4"/>
  <c r="AD63" i="4"/>
  <c r="Z63" i="4"/>
  <c r="AC63" i="4"/>
  <c r="AB63" i="4"/>
  <c r="Y63" i="4"/>
  <c r="AA63" i="4"/>
  <c r="AD51" i="4"/>
  <c r="AC51" i="4"/>
  <c r="AB51" i="4"/>
  <c r="AA51" i="4"/>
  <c r="Z51" i="4"/>
  <c r="Y51" i="4"/>
  <c r="AD39" i="4"/>
  <c r="Y39" i="4"/>
  <c r="AA39" i="4"/>
  <c r="AC39" i="4"/>
  <c r="AB39" i="4"/>
  <c r="Z39" i="4"/>
  <c r="F191" i="4"/>
  <c r="F179" i="4"/>
  <c r="F167" i="4"/>
  <c r="F155" i="4"/>
  <c r="F143" i="4"/>
  <c r="F131" i="4"/>
  <c r="F119" i="4"/>
  <c r="F107" i="4"/>
  <c r="F95" i="4"/>
  <c r="F83" i="4"/>
  <c r="F71" i="4"/>
  <c r="F59" i="4"/>
  <c r="F47" i="4"/>
  <c r="F35" i="4"/>
  <c r="D199" i="4"/>
  <c r="I199" i="4" s="1" a="1"/>
  <c r="I199" i="4" s="1"/>
  <c r="D187" i="4"/>
  <c r="I187" i="4" s="1" a="1"/>
  <c r="I187" i="4" s="1"/>
  <c r="D175" i="4"/>
  <c r="I175" i="4" s="1" a="1"/>
  <c r="I175" i="4" s="1"/>
  <c r="D163" i="4"/>
  <c r="I163" i="4" s="1" a="1"/>
  <c r="I163" i="4" s="1"/>
  <c r="D127" i="4"/>
  <c r="I127" i="4" s="1" a="1"/>
  <c r="I127" i="4" s="1"/>
  <c r="D115" i="4"/>
  <c r="I115" i="4" s="1" a="1"/>
  <c r="I115" i="4" s="1"/>
  <c r="D103" i="4"/>
  <c r="I103" i="4" s="1" a="1"/>
  <c r="I103" i="4" s="1"/>
  <c r="D91" i="4"/>
  <c r="I91" i="4" s="1" a="1"/>
  <c r="I91" i="4" s="1"/>
  <c r="D55" i="4"/>
  <c r="I55" i="4" s="1" a="1"/>
  <c r="I55" i="4" s="1"/>
  <c r="D43" i="4"/>
  <c r="I43" i="4" s="1" a="1"/>
  <c r="I43" i="4" s="1"/>
  <c r="D30" i="4"/>
  <c r="I30" i="4" s="1" a="1"/>
  <c r="I30" i="4" s="1"/>
  <c r="L195" i="4" a="1"/>
  <c r="L195" i="4" s="1"/>
  <c r="L183" i="4" a="1"/>
  <c r="L183" i="4" s="1"/>
  <c r="L171" i="4" a="1"/>
  <c r="L171" i="4" s="1"/>
  <c r="L159" i="4" a="1"/>
  <c r="L159" i="4" s="1"/>
  <c r="L147" i="4" a="1"/>
  <c r="L147" i="4" s="1"/>
  <c r="L135" i="4" a="1"/>
  <c r="L135" i="4" s="1"/>
  <c r="L123" i="4" a="1"/>
  <c r="L123" i="4" s="1"/>
  <c r="L111" i="4" a="1"/>
  <c r="L111" i="4" s="1"/>
  <c r="L99" i="4" a="1"/>
  <c r="L99" i="4" s="1"/>
  <c r="L87" i="4" a="1"/>
  <c r="L87" i="4" s="1"/>
  <c r="L75" i="4" a="1"/>
  <c r="L75" i="4" s="1"/>
  <c r="L63" i="4" a="1"/>
  <c r="L63" i="4" s="1"/>
  <c r="L51" i="4" a="1"/>
  <c r="L51" i="4" s="1"/>
  <c r="L39" i="4" a="1"/>
  <c r="L39" i="4" s="1"/>
  <c r="K194" i="4" a="1"/>
  <c r="K194" i="4" s="1"/>
  <c r="K182" i="4" a="1"/>
  <c r="K182" i="4" s="1"/>
  <c r="K170" i="4" a="1"/>
  <c r="K170" i="4" s="1"/>
  <c r="K158" i="4" a="1"/>
  <c r="K158" i="4" s="1"/>
  <c r="K146" i="4" a="1"/>
  <c r="K146" i="4" s="1"/>
  <c r="K134" i="4" a="1"/>
  <c r="K134" i="4" s="1"/>
  <c r="K122" i="4" a="1"/>
  <c r="K122" i="4" s="1"/>
  <c r="K110" i="4" a="1"/>
  <c r="K110" i="4" s="1"/>
  <c r="K98" i="4" a="1"/>
  <c r="K98" i="4" s="1"/>
  <c r="K86" i="4" a="1"/>
  <c r="K86" i="4" s="1"/>
  <c r="K74" i="4" a="1"/>
  <c r="K74" i="4" s="1"/>
  <c r="K62" i="4" a="1"/>
  <c r="K62" i="4" s="1"/>
  <c r="K50" i="4" a="1"/>
  <c r="K50" i="4" s="1"/>
  <c r="K38" i="4" a="1"/>
  <c r="K38" i="4" s="1"/>
  <c r="AD174" i="4"/>
  <c r="AC174" i="4"/>
  <c r="AB174" i="4"/>
  <c r="Z174" i="4"/>
  <c r="AA174" i="4"/>
  <c r="Y174" i="4"/>
  <c r="AD114" i="4"/>
  <c r="AC114" i="4"/>
  <c r="AB114" i="4"/>
  <c r="Z114" i="4"/>
  <c r="AA114" i="4"/>
  <c r="Y114" i="4"/>
  <c r="AD54" i="4"/>
  <c r="AC54" i="4"/>
  <c r="AB54" i="4"/>
  <c r="Y54" i="4"/>
  <c r="AA54" i="4"/>
  <c r="Z54" i="4"/>
  <c r="X182" i="4"/>
  <c r="W182" i="4"/>
  <c r="U182" i="4"/>
  <c r="T182" i="4"/>
  <c r="V182" i="4"/>
  <c r="O182" i="4"/>
  <c r="Q182" i="4"/>
  <c r="P182" i="4"/>
  <c r="R182" i="4"/>
  <c r="F122" i="4"/>
  <c r="X62" i="4"/>
  <c r="W62" i="4"/>
  <c r="S62" i="4"/>
  <c r="U62" i="4"/>
  <c r="T62" i="4"/>
  <c r="V62" i="4"/>
  <c r="O62" i="4"/>
  <c r="Q62" i="4"/>
  <c r="P62" i="4"/>
  <c r="R62" i="4"/>
  <c r="M62" i="4" a="1"/>
  <c r="M62" i="4" s="1"/>
  <c r="L162" i="4" a="1"/>
  <c r="L162" i="4" s="1"/>
  <c r="L114" i="4" a="1"/>
  <c r="L114" i="4" s="1"/>
  <c r="L42" i="4" a="1"/>
  <c r="L42" i="4" s="1"/>
  <c r="Y194" i="4"/>
  <c r="AB194" i="4"/>
  <c r="Z194" i="4"/>
  <c r="AD194" i="4"/>
  <c r="AA194" i="4"/>
  <c r="AC194" i="4"/>
  <c r="AA182" i="4"/>
  <c r="Y182" i="4"/>
  <c r="AD182" i="4"/>
  <c r="AC182" i="4"/>
  <c r="AB182" i="4"/>
  <c r="Z182" i="4"/>
  <c r="Z170" i="4"/>
  <c r="AA170" i="4"/>
  <c r="Y170" i="4"/>
  <c r="AC170" i="4"/>
  <c r="AB170" i="4"/>
  <c r="AD170" i="4"/>
  <c r="AB158" i="4"/>
  <c r="Z158" i="4"/>
  <c r="AD158" i="4"/>
  <c r="AC158" i="4"/>
  <c r="AA158" i="4"/>
  <c r="Y158" i="4"/>
  <c r="AB146" i="4"/>
  <c r="Z146" i="4"/>
  <c r="AC146" i="4"/>
  <c r="AD146" i="4"/>
  <c r="AA146" i="4"/>
  <c r="Y146" i="4"/>
  <c r="Y134" i="4"/>
  <c r="AA134" i="4"/>
  <c r="AD134" i="4"/>
  <c r="AC134" i="4"/>
  <c r="AB134" i="4"/>
  <c r="Z134" i="4"/>
  <c r="AD122" i="4"/>
  <c r="Z122" i="4"/>
  <c r="Y122" i="4"/>
  <c r="AA122" i="4"/>
  <c r="AC122" i="4"/>
  <c r="AB122" i="4"/>
  <c r="Z110" i="4"/>
  <c r="AC110" i="4"/>
  <c r="AB110" i="4"/>
  <c r="Y110" i="4"/>
  <c r="AD110" i="4"/>
  <c r="AA110" i="4"/>
  <c r="AD98" i="4"/>
  <c r="Z98" i="4"/>
  <c r="AA98" i="4"/>
  <c r="Y98" i="4"/>
  <c r="AB98" i="4"/>
  <c r="AC98" i="4"/>
  <c r="Y86" i="4"/>
  <c r="AA86" i="4"/>
  <c r="AC86" i="4"/>
  <c r="AB86" i="4"/>
  <c r="AD86" i="4"/>
  <c r="Z86" i="4"/>
  <c r="Z74" i="4"/>
  <c r="Y74" i="4"/>
  <c r="AD74" i="4"/>
  <c r="AA74" i="4"/>
  <c r="AB74" i="4"/>
  <c r="AC74" i="4"/>
  <c r="AD62" i="4"/>
  <c r="Z62" i="4"/>
  <c r="AC62" i="4"/>
  <c r="AB62" i="4"/>
  <c r="Y62" i="4"/>
  <c r="AA62" i="4"/>
  <c r="AD50" i="4"/>
  <c r="Z50" i="4"/>
  <c r="AB50" i="4"/>
  <c r="AC50" i="4"/>
  <c r="AA50" i="4"/>
  <c r="Y50" i="4"/>
  <c r="AD38" i="4"/>
  <c r="Y38" i="4"/>
  <c r="AA38" i="4"/>
  <c r="AC38" i="4"/>
  <c r="AB38" i="4"/>
  <c r="Z38" i="4"/>
  <c r="F190" i="4"/>
  <c r="F178" i="4"/>
  <c r="F166" i="4"/>
  <c r="F154" i="4"/>
  <c r="F142" i="4"/>
  <c r="F130" i="4"/>
  <c r="F118" i="4"/>
  <c r="F106" i="4"/>
  <c r="F94" i="4"/>
  <c r="F82" i="4"/>
  <c r="F70" i="4"/>
  <c r="F58" i="4"/>
  <c r="F46" i="4"/>
  <c r="F34" i="4"/>
  <c r="D198" i="4"/>
  <c r="I198" i="4" s="1" a="1"/>
  <c r="I198" i="4" s="1"/>
  <c r="D186" i="4"/>
  <c r="I186" i="4" s="1" a="1"/>
  <c r="I186" i="4" s="1"/>
  <c r="D174" i="4"/>
  <c r="I174" i="4" s="1" a="1"/>
  <c r="I174" i="4" s="1"/>
  <c r="D162" i="4"/>
  <c r="I162" i="4" s="1" a="1"/>
  <c r="I162" i="4" s="1"/>
  <c r="D150" i="4"/>
  <c r="I150" i="4" s="1" a="1"/>
  <c r="I150" i="4" s="1"/>
  <c r="D138" i="4"/>
  <c r="I138" i="4" s="1" a="1"/>
  <c r="I138" i="4" s="1"/>
  <c r="D126" i="4"/>
  <c r="I126" i="4" s="1" a="1"/>
  <c r="I126" i="4" s="1"/>
  <c r="D114" i="4"/>
  <c r="I114" i="4" s="1" a="1"/>
  <c r="I114" i="4" s="1"/>
  <c r="D102" i="4"/>
  <c r="I102" i="4" s="1" a="1"/>
  <c r="I102" i="4" s="1"/>
  <c r="D90" i="4"/>
  <c r="I90" i="4" s="1" a="1"/>
  <c r="I90" i="4" s="1"/>
  <c r="D78" i="4"/>
  <c r="I78" i="4" s="1" a="1"/>
  <c r="I78" i="4" s="1"/>
  <c r="D66" i="4"/>
  <c r="I66" i="4" s="1" a="1"/>
  <c r="I66" i="4" s="1"/>
  <c r="D54" i="4"/>
  <c r="I54" i="4" s="1" a="1"/>
  <c r="I54" i="4" s="1"/>
  <c r="D42" i="4"/>
  <c r="I42" i="4" s="1" a="1"/>
  <c r="I42" i="4" s="1"/>
  <c r="D19" i="4"/>
  <c r="L194" i="4" a="1"/>
  <c r="L194" i="4" s="1"/>
  <c r="L182" i="4" a="1"/>
  <c r="L182" i="4" s="1"/>
  <c r="L170" i="4" a="1"/>
  <c r="L170" i="4" s="1"/>
  <c r="L158" i="4" a="1"/>
  <c r="L158" i="4" s="1"/>
  <c r="L146" i="4" a="1"/>
  <c r="L146" i="4" s="1"/>
  <c r="L134" i="4" a="1"/>
  <c r="L134" i="4" s="1"/>
  <c r="L122" i="4" a="1"/>
  <c r="L122" i="4" s="1"/>
  <c r="L110" i="4" a="1"/>
  <c r="L110" i="4" s="1"/>
  <c r="L98" i="4" a="1"/>
  <c r="L98" i="4" s="1"/>
  <c r="L86" i="4" a="1"/>
  <c r="L86" i="4" s="1"/>
  <c r="L74" i="4" a="1"/>
  <c r="L74" i="4" s="1"/>
  <c r="L62" i="4" a="1"/>
  <c r="L62" i="4" s="1"/>
  <c r="L50" i="4" a="1"/>
  <c r="L50" i="4" s="1"/>
  <c r="L38" i="4" a="1"/>
  <c r="L38" i="4" s="1"/>
  <c r="K193" i="4" a="1"/>
  <c r="K193" i="4" s="1"/>
  <c r="K181" i="4" a="1"/>
  <c r="K181" i="4" s="1"/>
  <c r="K121" i="4" a="1"/>
  <c r="K121" i="4" s="1"/>
  <c r="K109" i="4" a="1"/>
  <c r="K109" i="4" s="1"/>
  <c r="K49" i="4" a="1"/>
  <c r="K49" i="4" s="1"/>
  <c r="K31" i="4" a="1"/>
  <c r="K31" i="4" s="1"/>
  <c r="AD150" i="4"/>
  <c r="AC150" i="4"/>
  <c r="AA150" i="4"/>
  <c r="Y150" i="4"/>
  <c r="AB150" i="4"/>
  <c r="Z150" i="4"/>
  <c r="AD90" i="4"/>
  <c r="AC90" i="4"/>
  <c r="AB90" i="4"/>
  <c r="Z90" i="4"/>
  <c r="Y90" i="4"/>
  <c r="AA90" i="4"/>
  <c r="AD30" i="4"/>
  <c r="AA30" i="4"/>
  <c r="AC30" i="4"/>
  <c r="AB30" i="4"/>
  <c r="Z30" i="4"/>
  <c r="Y30" i="4"/>
  <c r="F158" i="4"/>
  <c r="X98" i="4"/>
  <c r="W98" i="4"/>
  <c r="S98" i="4"/>
  <c r="U98" i="4"/>
  <c r="T98" i="4"/>
  <c r="O98" i="4"/>
  <c r="Q98" i="4"/>
  <c r="V98" i="4"/>
  <c r="P98" i="4"/>
  <c r="R98" i="4"/>
  <c r="M98" i="4" a="1"/>
  <c r="M98" i="4" s="1"/>
  <c r="X38" i="4"/>
  <c r="W38" i="4"/>
  <c r="S38" i="4"/>
  <c r="U38" i="4"/>
  <c r="V38" i="4"/>
  <c r="T38" i="4"/>
  <c r="R38" i="4"/>
  <c r="O38" i="4"/>
  <c r="Q38" i="4"/>
  <c r="P38" i="4"/>
  <c r="M38" i="4" a="1"/>
  <c r="M38" i="4" s="1"/>
  <c r="L198" i="4" a="1"/>
  <c r="L198" i="4" s="1"/>
  <c r="L150" i="4" a="1"/>
  <c r="L150" i="4" s="1"/>
  <c r="L90" i="4" a="1"/>
  <c r="L90" i="4" s="1"/>
  <c r="N146" i="4" a="1"/>
  <c r="N146" i="4" s="1"/>
  <c r="Y193" i="4"/>
  <c r="AB193" i="4"/>
  <c r="Z193" i="4"/>
  <c r="AA193" i="4"/>
  <c r="AC193" i="4"/>
  <c r="AA181" i="4"/>
  <c r="Y181" i="4"/>
  <c r="AD181" i="4"/>
  <c r="AC181" i="4"/>
  <c r="AB181" i="4"/>
  <c r="Z181" i="4"/>
  <c r="AA169" i="4"/>
  <c r="Y169" i="4"/>
  <c r="AC169" i="4"/>
  <c r="AB169" i="4"/>
  <c r="AD169" i="4"/>
  <c r="Z169" i="4"/>
  <c r="AB157" i="4"/>
  <c r="Z157" i="4"/>
  <c r="AD157" i="4"/>
  <c r="AC157" i="4"/>
  <c r="AA157" i="4"/>
  <c r="Y157" i="4"/>
  <c r="AB145" i="4"/>
  <c r="Z145" i="4"/>
  <c r="AC145" i="4"/>
  <c r="AD145" i="4"/>
  <c r="AA145" i="4"/>
  <c r="Y145" i="4"/>
  <c r="AA133" i="4"/>
  <c r="AD133" i="4"/>
  <c r="AC133" i="4"/>
  <c r="AB133" i="4"/>
  <c r="Z133" i="4"/>
  <c r="Y133" i="4"/>
  <c r="AD121" i="4"/>
  <c r="Y121" i="4"/>
  <c r="AA121" i="4"/>
  <c r="Z121" i="4"/>
  <c r="AB121" i="4"/>
  <c r="AC121" i="4"/>
  <c r="Z109" i="4"/>
  <c r="AC109" i="4"/>
  <c r="AB109" i="4"/>
  <c r="Y109" i="4"/>
  <c r="AD109" i="4"/>
  <c r="AA109" i="4"/>
  <c r="AD97" i="4"/>
  <c r="Z97" i="4"/>
  <c r="Y97" i="4"/>
  <c r="AB97" i="4"/>
  <c r="AC97" i="4"/>
  <c r="AA97" i="4"/>
  <c r="AA85" i="4"/>
  <c r="AC85" i="4"/>
  <c r="AB85" i="4"/>
  <c r="AD85" i="4"/>
  <c r="Z85" i="4"/>
  <c r="Y85" i="4"/>
  <c r="Y73" i="4"/>
  <c r="AD73" i="4"/>
  <c r="AA73" i="4"/>
  <c r="AB73" i="4"/>
  <c r="Z73" i="4"/>
  <c r="AC73" i="4"/>
  <c r="AD61" i="4"/>
  <c r="Z61" i="4"/>
  <c r="AC61" i="4"/>
  <c r="AB61" i="4"/>
  <c r="Y61" i="4"/>
  <c r="AA61" i="4"/>
  <c r="Z49" i="4"/>
  <c r="Y49" i="4"/>
  <c r="AC49" i="4"/>
  <c r="AA49" i="4"/>
  <c r="AD49" i="4"/>
  <c r="AB49" i="4"/>
  <c r="F13" i="4"/>
  <c r="F189" i="4"/>
  <c r="F177" i="4"/>
  <c r="F165" i="4"/>
  <c r="F153" i="4"/>
  <c r="F141" i="4"/>
  <c r="F129" i="4"/>
  <c r="F117" i="4"/>
  <c r="F105" i="4"/>
  <c r="F93" i="4"/>
  <c r="F81" i="4"/>
  <c r="F69" i="4"/>
  <c r="F57" i="4"/>
  <c r="F45" i="4"/>
  <c r="D197" i="4"/>
  <c r="I197" i="4" s="1" a="1"/>
  <c r="I197" i="4" s="1"/>
  <c r="D185" i="4"/>
  <c r="I185" i="4" s="1" a="1"/>
  <c r="I185" i="4" s="1"/>
  <c r="D173" i="4"/>
  <c r="I173" i="4" s="1" a="1"/>
  <c r="I173" i="4" s="1"/>
  <c r="D161" i="4"/>
  <c r="I161" i="4" s="1" a="1"/>
  <c r="I161" i="4" s="1"/>
  <c r="D149" i="4"/>
  <c r="I149" i="4" s="1" a="1"/>
  <c r="I149" i="4" s="1"/>
  <c r="D137" i="4"/>
  <c r="I137" i="4" s="1" a="1"/>
  <c r="I137" i="4" s="1"/>
  <c r="D125" i="4"/>
  <c r="I125" i="4" s="1" a="1"/>
  <c r="I125" i="4" s="1"/>
  <c r="D113" i="4"/>
  <c r="I113" i="4" s="1" a="1"/>
  <c r="I113" i="4" s="1"/>
  <c r="D101" i="4"/>
  <c r="I101" i="4" s="1" a="1"/>
  <c r="I101" i="4" s="1"/>
  <c r="D89" i="4"/>
  <c r="I89" i="4" s="1" a="1"/>
  <c r="I89" i="4" s="1"/>
  <c r="D77" i="4"/>
  <c r="I77" i="4" s="1" a="1"/>
  <c r="I77" i="4" s="1"/>
  <c r="D65" i="4"/>
  <c r="I65" i="4" s="1" a="1"/>
  <c r="I65" i="4" s="1"/>
  <c r="D53" i="4"/>
  <c r="I53" i="4" s="1" a="1"/>
  <c r="I53" i="4" s="1"/>
  <c r="D41" i="4"/>
  <c r="I41" i="4" s="1" a="1"/>
  <c r="I41" i="4" s="1"/>
  <c r="D18" i="4"/>
  <c r="I18" i="4" s="1" a="1"/>
  <c r="I18" i="4" s="1"/>
  <c r="L193" i="4" a="1"/>
  <c r="L193" i="4" s="1"/>
  <c r="L181" i="4" a="1"/>
  <c r="L181" i="4" s="1"/>
  <c r="L121" i="4" a="1"/>
  <c r="L121" i="4" s="1"/>
  <c r="L109" i="4" a="1"/>
  <c r="L109" i="4" s="1"/>
  <c r="L49" i="4" a="1"/>
  <c r="L49" i="4" s="1"/>
  <c r="K192" i="4" a="1"/>
  <c r="K192" i="4" s="1"/>
  <c r="K180" i="4" a="1"/>
  <c r="K180" i="4" s="1"/>
  <c r="K168" i="4" a="1"/>
  <c r="K168" i="4" s="1"/>
  <c r="K156" i="4" a="1"/>
  <c r="K156" i="4" s="1"/>
  <c r="K144" i="4" a="1"/>
  <c r="K144" i="4" s="1"/>
  <c r="K132" i="4" a="1"/>
  <c r="K132" i="4" s="1"/>
  <c r="K120" i="4" a="1"/>
  <c r="K120" i="4" s="1"/>
  <c r="K108" i="4" a="1"/>
  <c r="K108" i="4" s="1"/>
  <c r="K96" i="4" a="1"/>
  <c r="K96" i="4" s="1"/>
  <c r="K84" i="4" a="1"/>
  <c r="K84" i="4" s="1"/>
  <c r="K72" i="4" a="1"/>
  <c r="K72" i="4" s="1"/>
  <c r="K60" i="4" a="1"/>
  <c r="K60" i="4" s="1"/>
  <c r="K48" i="4" a="1"/>
  <c r="K48" i="4" s="1"/>
  <c r="K30" i="4" a="1"/>
  <c r="K30" i="4" s="1"/>
  <c r="M182" i="4" a="1"/>
  <c r="M182" i="4" s="1"/>
  <c r="M170" i="4" a="1"/>
  <c r="M170" i="4" s="1"/>
  <c r="M146" i="4" a="1"/>
  <c r="M146" i="4" s="1"/>
  <c r="M134" i="4" a="1"/>
  <c r="M134" i="4" s="1"/>
  <c r="M110" i="4" a="1"/>
  <c r="M110" i="4" s="1"/>
  <c r="S182" i="4"/>
  <c r="AA168" i="4"/>
  <c r="Y168" i="4"/>
  <c r="AC168" i="4"/>
  <c r="AB168" i="4"/>
  <c r="AD168" i="4"/>
  <c r="Z168" i="4"/>
  <c r="AB156" i="4"/>
  <c r="Z156" i="4"/>
  <c r="AD156" i="4"/>
  <c r="AC156" i="4"/>
  <c r="AA156" i="4"/>
  <c r="Y156" i="4"/>
  <c r="AB144" i="4"/>
  <c r="Z144" i="4"/>
  <c r="Y144" i="4"/>
  <c r="AC144" i="4"/>
  <c r="AD144" i="4"/>
  <c r="AA144" i="4"/>
  <c r="AD132" i="4"/>
  <c r="Y132" i="4"/>
  <c r="AA132" i="4"/>
  <c r="AC132" i="4"/>
  <c r="AB132" i="4"/>
  <c r="Z132" i="4"/>
  <c r="AD120" i="4"/>
  <c r="Y120" i="4"/>
  <c r="AA120" i="4"/>
  <c r="AB120" i="4"/>
  <c r="AC120" i="4"/>
  <c r="Z120" i="4"/>
  <c r="AD108" i="4"/>
  <c r="Y108" i="4"/>
  <c r="Z108" i="4"/>
  <c r="AC108" i="4"/>
  <c r="AB108" i="4"/>
  <c r="AA108" i="4"/>
  <c r="AD96" i="4"/>
  <c r="Y96" i="4"/>
  <c r="Z96" i="4"/>
  <c r="AB96" i="4"/>
  <c r="AC96" i="4"/>
  <c r="AA96" i="4"/>
  <c r="AD84" i="4"/>
  <c r="Y84" i="4"/>
  <c r="AA84" i="4"/>
  <c r="AC84" i="4"/>
  <c r="AB84" i="4"/>
  <c r="Z84" i="4"/>
  <c r="AD72" i="4"/>
  <c r="Y72" i="4"/>
  <c r="AA72" i="4"/>
  <c r="AB72" i="4"/>
  <c r="Z72" i="4"/>
  <c r="AC72" i="4"/>
  <c r="AD60" i="4"/>
  <c r="Y60" i="4"/>
  <c r="Z60" i="4"/>
  <c r="AC60" i="4"/>
  <c r="AB60" i="4"/>
  <c r="AA60" i="4"/>
  <c r="AD48" i="4"/>
  <c r="Y48" i="4"/>
  <c r="Z48" i="4"/>
  <c r="AC48" i="4"/>
  <c r="AA48" i="4"/>
  <c r="AB48" i="4"/>
  <c r="F200" i="4"/>
  <c r="F188" i="4"/>
  <c r="F176" i="4"/>
  <c r="F164" i="4"/>
  <c r="F152" i="4"/>
  <c r="F140" i="4"/>
  <c r="F128" i="4"/>
  <c r="F116" i="4"/>
  <c r="F104" i="4"/>
  <c r="F92" i="4"/>
  <c r="F80" i="4"/>
  <c r="F68" i="4"/>
  <c r="F56" i="4"/>
  <c r="F44" i="4"/>
  <c r="D196" i="4"/>
  <c r="I196" i="4" s="1" a="1"/>
  <c r="I196" i="4" s="1"/>
  <c r="D184" i="4"/>
  <c r="I184" i="4" s="1" a="1"/>
  <c r="I184" i="4" s="1"/>
  <c r="D172" i="4"/>
  <c r="I172" i="4" s="1" a="1"/>
  <c r="I172" i="4" s="1"/>
  <c r="D160" i="4"/>
  <c r="I160" i="4" s="1" a="1"/>
  <c r="I160" i="4" s="1"/>
  <c r="D148" i="4"/>
  <c r="I148" i="4" s="1" a="1"/>
  <c r="I148" i="4" s="1"/>
  <c r="D136" i="4"/>
  <c r="I136" i="4" s="1" a="1"/>
  <c r="I136" i="4" s="1"/>
  <c r="D124" i="4"/>
  <c r="I124" i="4" s="1" a="1"/>
  <c r="I124" i="4" s="1"/>
  <c r="D112" i="4"/>
  <c r="I112" i="4" s="1" a="1"/>
  <c r="I112" i="4" s="1"/>
  <c r="D100" i="4"/>
  <c r="I100" i="4" s="1" a="1"/>
  <c r="I100" i="4" s="1"/>
  <c r="D88" i="4"/>
  <c r="I88" i="4" s="1" a="1"/>
  <c r="I88" i="4" s="1"/>
  <c r="D76" i="4"/>
  <c r="I76" i="4" s="1" a="1"/>
  <c r="I76" i="4" s="1"/>
  <c r="D64" i="4"/>
  <c r="I64" i="4" s="1" a="1"/>
  <c r="I64" i="4" s="1"/>
  <c r="D52" i="4"/>
  <c r="I52" i="4" s="1" a="1"/>
  <c r="I52" i="4" s="1"/>
  <c r="D40" i="4"/>
  <c r="I40" i="4" s="1" a="1"/>
  <c r="I40" i="4" s="1"/>
  <c r="L192" i="4" a="1"/>
  <c r="L192" i="4" s="1"/>
  <c r="L180" i="4" a="1"/>
  <c r="L180" i="4" s="1"/>
  <c r="L168" i="4" a="1"/>
  <c r="L168" i="4" s="1"/>
  <c r="L156" i="4" a="1"/>
  <c r="L156" i="4" s="1"/>
  <c r="L144" i="4" a="1"/>
  <c r="L144" i="4" s="1"/>
  <c r="L132" i="4" a="1"/>
  <c r="L132" i="4" s="1"/>
  <c r="L120" i="4" a="1"/>
  <c r="L120" i="4" s="1"/>
  <c r="L108" i="4" a="1"/>
  <c r="L108" i="4" s="1"/>
  <c r="L96" i="4" a="1"/>
  <c r="L96" i="4" s="1"/>
  <c r="L84" i="4" a="1"/>
  <c r="L84" i="4" s="1"/>
  <c r="L72" i="4" a="1"/>
  <c r="L72" i="4" s="1"/>
  <c r="L60" i="4" a="1"/>
  <c r="L60" i="4" s="1"/>
  <c r="L48" i="4" a="1"/>
  <c r="L48" i="4" s="1"/>
  <c r="L30" i="4" a="1"/>
  <c r="L30" i="4" s="1"/>
  <c r="K191" i="4" a="1"/>
  <c r="K191" i="4" s="1"/>
  <c r="K179" i="4" a="1"/>
  <c r="K179" i="4" s="1"/>
  <c r="K167" i="4" a="1"/>
  <c r="K167" i="4" s="1"/>
  <c r="K155" i="4" a="1"/>
  <c r="K155" i="4" s="1"/>
  <c r="K143" i="4" a="1"/>
  <c r="K143" i="4" s="1"/>
  <c r="K131" i="4" a="1"/>
  <c r="K131" i="4" s="1"/>
  <c r="K119" i="4" a="1"/>
  <c r="K119" i="4" s="1"/>
  <c r="K107" i="4" a="1"/>
  <c r="K107" i="4" s="1"/>
  <c r="K95" i="4" a="1"/>
  <c r="K95" i="4" s="1"/>
  <c r="K83" i="4" a="1"/>
  <c r="K83" i="4" s="1"/>
  <c r="K71" i="4" a="1"/>
  <c r="K71" i="4" s="1"/>
  <c r="K59" i="4" a="1"/>
  <c r="K59" i="4" s="1"/>
  <c r="K47" i="4" a="1"/>
  <c r="K47" i="4" s="1"/>
  <c r="K19" i="4" a="1"/>
  <c r="K19" i="4" s="1"/>
  <c r="N182" i="4" a="1"/>
  <c r="N182" i="4" s="1"/>
  <c r="N110" i="4" a="1"/>
  <c r="N110" i="4" s="1"/>
  <c r="N38" i="4" a="1"/>
  <c r="N38" i="4" s="1"/>
  <c r="Y191" i="4"/>
  <c r="AB191" i="4"/>
  <c r="Z191" i="4"/>
  <c r="AD191" i="4"/>
  <c r="AC191" i="4"/>
  <c r="AA191" i="4"/>
  <c r="Y179" i="4"/>
  <c r="AD179" i="4"/>
  <c r="AC179" i="4"/>
  <c r="AB179" i="4"/>
  <c r="Z179" i="4"/>
  <c r="AA179" i="4"/>
  <c r="AA167" i="4"/>
  <c r="Y167" i="4"/>
  <c r="AD167" i="4"/>
  <c r="AC167" i="4"/>
  <c r="AB167" i="4"/>
  <c r="Z167" i="4"/>
  <c r="Z155" i="4"/>
  <c r="AD155" i="4"/>
  <c r="AC155" i="4"/>
  <c r="AA155" i="4"/>
  <c r="Y155" i="4"/>
  <c r="AB155" i="4"/>
  <c r="AB143" i="4"/>
  <c r="Z143" i="4"/>
  <c r="Y143" i="4"/>
  <c r="AD143" i="4"/>
  <c r="AC143" i="4"/>
  <c r="AA143" i="4"/>
  <c r="AC131" i="4"/>
  <c r="AD131" i="4"/>
  <c r="AB131" i="4"/>
  <c r="Z131" i="4"/>
  <c r="AA131" i="4"/>
  <c r="Y131" i="4"/>
  <c r="Y119" i="4"/>
  <c r="AA119" i="4"/>
  <c r="AC119" i="4"/>
  <c r="AB119" i="4"/>
  <c r="AD119" i="4"/>
  <c r="Z119" i="4"/>
  <c r="Z107" i="4"/>
  <c r="AC107" i="4"/>
  <c r="AB107" i="4"/>
  <c r="Y107" i="4"/>
  <c r="AD107" i="4"/>
  <c r="AA107" i="4"/>
  <c r="AD95" i="4"/>
  <c r="Z95" i="4"/>
  <c r="Y95" i="4"/>
  <c r="AC95" i="4"/>
  <c r="AB95" i="4"/>
  <c r="AA95" i="4"/>
  <c r="AC83" i="4"/>
  <c r="AB83" i="4"/>
  <c r="Z83" i="4"/>
  <c r="AD83" i="4"/>
  <c r="AA83" i="4"/>
  <c r="Y83" i="4"/>
  <c r="Y71" i="4"/>
  <c r="AA71" i="4"/>
  <c r="AD71" i="4"/>
  <c r="AC71" i="4"/>
  <c r="AB71" i="4"/>
  <c r="Z71" i="4"/>
  <c r="AD59" i="4"/>
  <c r="Z59" i="4"/>
  <c r="AC59" i="4"/>
  <c r="AB59" i="4"/>
  <c r="Y59" i="4"/>
  <c r="AA59" i="4"/>
  <c r="AD47" i="4"/>
  <c r="Z47" i="4"/>
  <c r="Y47" i="4"/>
  <c r="AC47" i="4"/>
  <c r="AB47" i="4"/>
  <c r="AA47" i="4"/>
  <c r="F199" i="4"/>
  <c r="W187" i="4"/>
  <c r="X187" i="4"/>
  <c r="T187" i="4"/>
  <c r="V187" i="4"/>
  <c r="U187" i="4"/>
  <c r="P187" i="4"/>
  <c r="R187" i="4"/>
  <c r="S187" i="4"/>
  <c r="N187" i="4" a="1"/>
  <c r="N187" i="4" s="1"/>
  <c r="O187" i="4"/>
  <c r="Q187" i="4"/>
  <c r="W175" i="4"/>
  <c r="T175" i="4"/>
  <c r="V175" i="4"/>
  <c r="U175" i="4"/>
  <c r="X175" i="4"/>
  <c r="P175" i="4"/>
  <c r="R175" i="4"/>
  <c r="N175" i="4" a="1"/>
  <c r="N175" i="4" s="1"/>
  <c r="S175" i="4"/>
  <c r="O175" i="4"/>
  <c r="Q175" i="4"/>
  <c r="F163" i="4"/>
  <c r="F127" i="4"/>
  <c r="W115" i="4"/>
  <c r="X115" i="4"/>
  <c r="T115" i="4"/>
  <c r="V115" i="4"/>
  <c r="S115" i="4"/>
  <c r="U115" i="4"/>
  <c r="P115" i="4"/>
  <c r="R115" i="4"/>
  <c r="N115" i="4" a="1"/>
  <c r="N115" i="4" s="1"/>
  <c r="O115" i="4"/>
  <c r="Q115" i="4"/>
  <c r="W103" i="4"/>
  <c r="T103" i="4"/>
  <c r="V103" i="4"/>
  <c r="S103" i="4"/>
  <c r="U103" i="4"/>
  <c r="X103" i="4"/>
  <c r="P103" i="4"/>
  <c r="R103" i="4"/>
  <c r="M103" i="4" a="1"/>
  <c r="M103" i="4" s="1"/>
  <c r="N103" i="4" a="1"/>
  <c r="N103" i="4" s="1"/>
  <c r="O103" i="4"/>
  <c r="Q103" i="4"/>
  <c r="F91" i="4"/>
  <c r="F55" i="4"/>
  <c r="X43" i="4"/>
  <c r="W43" i="4"/>
  <c r="T43" i="4"/>
  <c r="S43" i="4"/>
  <c r="V43" i="4"/>
  <c r="U43" i="4"/>
  <c r="R43" i="4"/>
  <c r="P43" i="4"/>
  <c r="M43" i="4" a="1"/>
  <c r="M43" i="4" s="1"/>
  <c r="N43" i="4" a="1"/>
  <c r="N43" i="4" s="1"/>
  <c r="O43" i="4"/>
  <c r="Q43" i="4"/>
  <c r="X31" i="4"/>
  <c r="W31" i="4"/>
  <c r="U31" i="4"/>
  <c r="R31" i="4"/>
  <c r="T31" i="4"/>
  <c r="V31" i="4"/>
  <c r="S31" i="4"/>
  <c r="M31" i="4" a="1"/>
  <c r="M31" i="4" s="1"/>
  <c r="N31" i="4" a="1"/>
  <c r="N31" i="4" s="1"/>
  <c r="P31" i="4"/>
  <c r="O31" i="4"/>
  <c r="Q31" i="4"/>
  <c r="F19" i="4"/>
  <c r="D183" i="4"/>
  <c r="I183" i="4" s="1" a="1"/>
  <c r="I183" i="4" s="1"/>
  <c r="D171" i="4"/>
  <c r="I171" i="4" s="1" a="1"/>
  <c r="I171" i="4" s="1"/>
  <c r="D159" i="4"/>
  <c r="I159" i="4" s="1" a="1"/>
  <c r="I159" i="4" s="1"/>
  <c r="D111" i="4"/>
  <c r="I111" i="4" s="1" a="1"/>
  <c r="I111" i="4" s="1"/>
  <c r="D99" i="4"/>
  <c r="I99" i="4" s="1" a="1"/>
  <c r="I99" i="4" s="1"/>
  <c r="D87" i="4"/>
  <c r="I87" i="4" s="1" a="1"/>
  <c r="I87" i="4" s="1"/>
  <c r="D39" i="4"/>
  <c r="I39" i="4" s="1" a="1"/>
  <c r="I39" i="4" s="1"/>
  <c r="L191" i="4" a="1"/>
  <c r="L191" i="4" s="1"/>
  <c r="L179" i="4" a="1"/>
  <c r="L179" i="4" s="1"/>
  <c r="L167" i="4" a="1"/>
  <c r="L167" i="4" s="1"/>
  <c r="L155" i="4" a="1"/>
  <c r="L155" i="4" s="1"/>
  <c r="L143" i="4" a="1"/>
  <c r="L143" i="4" s="1"/>
  <c r="L131" i="4" a="1"/>
  <c r="L131" i="4" s="1"/>
  <c r="L119" i="4" a="1"/>
  <c r="L119" i="4" s="1"/>
  <c r="L107" i="4" a="1"/>
  <c r="L107" i="4" s="1"/>
  <c r="L95" i="4" a="1"/>
  <c r="L95" i="4" s="1"/>
  <c r="L83" i="4" a="1"/>
  <c r="L83" i="4" s="1"/>
  <c r="L71" i="4" a="1"/>
  <c r="L71" i="4" s="1"/>
  <c r="L59" i="4" a="1"/>
  <c r="L59" i="4" s="1"/>
  <c r="L47" i="4" a="1"/>
  <c r="L47" i="4" s="1"/>
  <c r="K190" i="4" a="1"/>
  <c r="K190" i="4" s="1"/>
  <c r="K178" i="4" a="1"/>
  <c r="K178" i="4" s="1"/>
  <c r="K166" i="4" a="1"/>
  <c r="K166" i="4" s="1"/>
  <c r="K154" i="4" a="1"/>
  <c r="K154" i="4" s="1"/>
  <c r="K142" i="4" a="1"/>
  <c r="K142" i="4" s="1"/>
  <c r="K130" i="4" a="1"/>
  <c r="K130" i="4" s="1"/>
  <c r="K118" i="4" a="1"/>
  <c r="K118" i="4" s="1"/>
  <c r="K106" i="4" a="1"/>
  <c r="K106" i="4" s="1"/>
  <c r="K94" i="4" a="1"/>
  <c r="K94" i="4" s="1"/>
  <c r="K82" i="4" a="1"/>
  <c r="K82" i="4" s="1"/>
  <c r="K70" i="4" a="1"/>
  <c r="K70" i="4" s="1"/>
  <c r="K58" i="4" a="1"/>
  <c r="K58" i="4" s="1"/>
  <c r="K46" i="4" a="1"/>
  <c r="K46" i="4" s="1"/>
  <c r="K18" i="4" a="1"/>
  <c r="K18" i="4" s="1"/>
  <c r="Y190" i="4"/>
  <c r="AD190" i="4"/>
  <c r="AC190" i="4"/>
  <c r="AB190" i="4"/>
  <c r="AA190" i="4"/>
  <c r="Z190" i="4"/>
  <c r="Y178" i="4"/>
  <c r="AD178" i="4"/>
  <c r="AC178" i="4"/>
  <c r="AB178" i="4"/>
  <c r="AA178" i="4"/>
  <c r="Z178" i="4"/>
  <c r="Y166" i="4"/>
  <c r="AD166" i="4"/>
  <c r="AC166" i="4"/>
  <c r="AB166" i="4"/>
  <c r="AA166" i="4"/>
  <c r="Z166" i="4"/>
  <c r="Y154" i="4"/>
  <c r="AD154" i="4"/>
  <c r="AC154" i="4"/>
  <c r="AB154" i="4"/>
  <c r="AA154" i="4"/>
  <c r="Z154" i="4"/>
  <c r="Y142" i="4"/>
  <c r="AD142" i="4"/>
  <c r="AC142" i="4"/>
  <c r="AB142" i="4"/>
  <c r="AA142" i="4"/>
  <c r="Z142" i="4"/>
  <c r="Y130" i="4"/>
  <c r="AD130" i="4"/>
  <c r="AC130" i="4"/>
  <c r="AB130" i="4"/>
  <c r="AA130" i="4"/>
  <c r="Z130" i="4"/>
  <c r="Y118" i="4"/>
  <c r="AD118" i="4"/>
  <c r="AC118" i="4"/>
  <c r="AB118" i="4"/>
  <c r="AA118" i="4"/>
  <c r="Z118" i="4"/>
  <c r="Y106" i="4"/>
  <c r="AD106" i="4"/>
  <c r="AC106" i="4"/>
  <c r="AB106" i="4"/>
  <c r="AA106" i="4"/>
  <c r="Z106" i="4"/>
  <c r="Y94" i="4"/>
  <c r="AD94" i="4"/>
  <c r="AC94" i="4"/>
  <c r="AB94" i="4"/>
  <c r="AA94" i="4"/>
  <c r="Z94" i="4"/>
  <c r="Y82" i="4"/>
  <c r="AD82" i="4"/>
  <c r="AC82" i="4"/>
  <c r="AB82" i="4"/>
  <c r="AA82" i="4"/>
  <c r="Z82" i="4"/>
  <c r="Y70" i="4"/>
  <c r="AD70" i="4"/>
  <c r="AC70" i="4"/>
  <c r="AB70" i="4"/>
  <c r="AA70" i="4"/>
  <c r="Z70" i="4"/>
  <c r="Y58" i="4"/>
  <c r="AD58" i="4"/>
  <c r="AC58" i="4"/>
  <c r="AB58" i="4"/>
  <c r="AA58" i="4"/>
  <c r="Z58" i="4"/>
  <c r="Y46" i="4"/>
  <c r="AD46" i="4"/>
  <c r="AC46" i="4"/>
  <c r="AB46" i="4"/>
  <c r="AA46" i="4"/>
  <c r="Z46" i="4"/>
  <c r="F198" i="4"/>
  <c r="F186" i="4"/>
  <c r="F174" i="4"/>
  <c r="F162" i="4"/>
  <c r="F150" i="4"/>
  <c r="F138" i="4"/>
  <c r="F126" i="4"/>
  <c r="F114" i="4"/>
  <c r="F102" i="4"/>
  <c r="F90" i="4"/>
  <c r="F78" i="4"/>
  <c r="F66" i="4"/>
  <c r="F54" i="4"/>
  <c r="F42" i="4"/>
  <c r="F18" i="4"/>
  <c r="K189" i="4" a="1"/>
  <c r="K189" i="4" s="1"/>
  <c r="K177" i="4" a="1"/>
  <c r="K177" i="4" s="1"/>
  <c r="K165" i="4" a="1"/>
  <c r="K165" i="4" s="1"/>
  <c r="K153" i="4" a="1"/>
  <c r="K153" i="4" s="1"/>
  <c r="K141" i="4" a="1"/>
  <c r="K141" i="4" s="1"/>
  <c r="K129" i="4" a="1"/>
  <c r="K129" i="4" s="1"/>
  <c r="K117" i="4" a="1"/>
  <c r="K117" i="4" s="1"/>
  <c r="K105" i="4" a="1"/>
  <c r="K105" i="4" s="1"/>
  <c r="K93" i="4" a="1"/>
  <c r="K93" i="4" s="1"/>
  <c r="K81" i="4" a="1"/>
  <c r="K81" i="4" s="1"/>
  <c r="K69" i="4" a="1"/>
  <c r="K69" i="4" s="1"/>
  <c r="K57" i="4" a="1"/>
  <c r="K57" i="4" s="1"/>
  <c r="K45" i="4" a="1"/>
  <c r="K45" i="4" s="1"/>
  <c r="K13" i="4" a="1"/>
  <c r="K13" i="4" s="1"/>
  <c r="N170" i="4" a="1"/>
  <c r="N170" i="4" s="1"/>
  <c r="N98" i="4" a="1"/>
  <c r="N98" i="4" s="1"/>
  <c r="Y192" i="4"/>
  <c r="AB192" i="4"/>
  <c r="Z192" i="4"/>
  <c r="AA192" i="4"/>
  <c r="AC192" i="4"/>
  <c r="AD192" i="4"/>
  <c r="AD13" i="4"/>
  <c r="AC13" i="4"/>
  <c r="Z13" i="4"/>
  <c r="AA13" i="4"/>
  <c r="AB13" i="4"/>
  <c r="AD189" i="4"/>
  <c r="AC189" i="4"/>
  <c r="Z189" i="4"/>
  <c r="AB189" i="4"/>
  <c r="AA189" i="4"/>
  <c r="Y189" i="4"/>
  <c r="AD177" i="4"/>
  <c r="AC177" i="4"/>
  <c r="Z177" i="4"/>
  <c r="Y177" i="4"/>
  <c r="AB177" i="4"/>
  <c r="AA177" i="4"/>
  <c r="AD165" i="4"/>
  <c r="AC165" i="4"/>
  <c r="Z165" i="4"/>
  <c r="AA165" i="4"/>
  <c r="Y165" i="4"/>
  <c r="AB165" i="4"/>
  <c r="AD153" i="4"/>
  <c r="AC153" i="4"/>
  <c r="Z153" i="4"/>
  <c r="AA153" i="4"/>
  <c r="Y153" i="4"/>
  <c r="AB153" i="4"/>
  <c r="AD141" i="4"/>
  <c r="AC141" i="4"/>
  <c r="Z141" i="4"/>
  <c r="AB141" i="4"/>
  <c r="Y141" i="4"/>
  <c r="AA141" i="4"/>
  <c r="AD129" i="4"/>
  <c r="AC129" i="4"/>
  <c r="Z129" i="4"/>
  <c r="AB129" i="4"/>
  <c r="AA129" i="4"/>
  <c r="Y129" i="4"/>
  <c r="AD117" i="4"/>
  <c r="AC117" i="4"/>
  <c r="AB117" i="4"/>
  <c r="Z117" i="4"/>
  <c r="Y117" i="4"/>
  <c r="AA117" i="4"/>
  <c r="AD105" i="4"/>
  <c r="AC105" i="4"/>
  <c r="AB105" i="4"/>
  <c r="Z105" i="4"/>
  <c r="Y105" i="4"/>
  <c r="AA105" i="4"/>
  <c r="AD93" i="4"/>
  <c r="AC93" i="4"/>
  <c r="AB93" i="4"/>
  <c r="Z93" i="4"/>
  <c r="Y93" i="4"/>
  <c r="AA93" i="4"/>
  <c r="AD81" i="4"/>
  <c r="AC81" i="4"/>
  <c r="AB81" i="4"/>
  <c r="Z81" i="4"/>
  <c r="AA81" i="4"/>
  <c r="Y81" i="4"/>
  <c r="AD69" i="4"/>
  <c r="AC69" i="4"/>
  <c r="AB69" i="4"/>
  <c r="Z69" i="4"/>
  <c r="Y69" i="4"/>
  <c r="AA69" i="4"/>
  <c r="AD57" i="4"/>
  <c r="AC57" i="4"/>
  <c r="AB57" i="4"/>
  <c r="Z57" i="4"/>
  <c r="Y57" i="4"/>
  <c r="AA57" i="4"/>
  <c r="AD45" i="4"/>
  <c r="AC45" i="4"/>
  <c r="AB45" i="4"/>
  <c r="Z45" i="4"/>
  <c r="Y45" i="4"/>
  <c r="AA45" i="4"/>
  <c r="K200" i="4" a="1"/>
  <c r="K200" i="4" s="1"/>
  <c r="K188" i="4" a="1"/>
  <c r="K188" i="4" s="1"/>
  <c r="K176" i="4" a="1"/>
  <c r="K176" i="4" s="1"/>
  <c r="K164" i="4" a="1"/>
  <c r="K164" i="4" s="1"/>
  <c r="K152" i="4" a="1"/>
  <c r="K152" i="4" s="1"/>
  <c r="K140" i="4" a="1"/>
  <c r="K140" i="4" s="1"/>
  <c r="K128" i="4" a="1"/>
  <c r="K128" i="4" s="1"/>
  <c r="K116" i="4" a="1"/>
  <c r="K116" i="4" s="1"/>
  <c r="K104" i="4" a="1"/>
  <c r="K104" i="4" s="1"/>
  <c r="K92" i="4" a="1"/>
  <c r="K92" i="4" s="1"/>
  <c r="K80" i="4" a="1"/>
  <c r="K80" i="4" s="1"/>
  <c r="K68" i="4" a="1"/>
  <c r="K68" i="4" s="1"/>
  <c r="K56" i="4" a="1"/>
  <c r="K56" i="4" s="1"/>
  <c r="K44" i="4" a="1"/>
  <c r="K44" i="4" s="1"/>
  <c r="AA180" i="4"/>
  <c r="Y180" i="4"/>
  <c r="AD180" i="4"/>
  <c r="AC180" i="4"/>
  <c r="AB180" i="4"/>
  <c r="Z180" i="4"/>
  <c r="AD200" i="4"/>
  <c r="AC200" i="4"/>
  <c r="AB200" i="4"/>
  <c r="AA200" i="4"/>
  <c r="Z200" i="4"/>
  <c r="Y200" i="4"/>
  <c r="AD188" i="4"/>
  <c r="AC188" i="4"/>
  <c r="AB188" i="4"/>
  <c r="AA188" i="4"/>
  <c r="Z188" i="4"/>
  <c r="Y188" i="4"/>
  <c r="AD176" i="4"/>
  <c r="AC176" i="4"/>
  <c r="AB176" i="4"/>
  <c r="AA176" i="4"/>
  <c r="Z176" i="4"/>
  <c r="Y176" i="4"/>
  <c r="AD164" i="4"/>
  <c r="AC164" i="4"/>
  <c r="AB164" i="4"/>
  <c r="AA164" i="4"/>
  <c r="Y164" i="4"/>
  <c r="Z164" i="4"/>
  <c r="AD152" i="4"/>
  <c r="AC152" i="4"/>
  <c r="AB152" i="4"/>
  <c r="AA152" i="4"/>
  <c r="Y152" i="4"/>
  <c r="Z152" i="4"/>
  <c r="AD140" i="4"/>
  <c r="AC140" i="4"/>
  <c r="AB140" i="4"/>
  <c r="AA140" i="4"/>
  <c r="Z140" i="4"/>
  <c r="Y140" i="4"/>
  <c r="AD128" i="4"/>
  <c r="AC128" i="4"/>
  <c r="AB128" i="4"/>
  <c r="AA128" i="4"/>
  <c r="Z128" i="4"/>
  <c r="Y128" i="4"/>
  <c r="AD116" i="4"/>
  <c r="AC116" i="4"/>
  <c r="AB116" i="4"/>
  <c r="AA116" i="4"/>
  <c r="Z116" i="4"/>
  <c r="Y116" i="4"/>
  <c r="AD104" i="4"/>
  <c r="AC104" i="4"/>
  <c r="AB104" i="4"/>
  <c r="AA104" i="4"/>
  <c r="Y104" i="4"/>
  <c r="Z104" i="4"/>
  <c r="AD92" i="4"/>
  <c r="AC92" i="4"/>
  <c r="AB92" i="4"/>
  <c r="AA92" i="4"/>
  <c r="Z92" i="4"/>
  <c r="Y92" i="4"/>
  <c r="AD80" i="4"/>
  <c r="AC80" i="4"/>
  <c r="AB80" i="4"/>
  <c r="AA80" i="4"/>
  <c r="Z80" i="4"/>
  <c r="Y80" i="4"/>
  <c r="AD68" i="4"/>
  <c r="AC68" i="4"/>
  <c r="AB68" i="4"/>
  <c r="AA68" i="4"/>
  <c r="Z68" i="4"/>
  <c r="Y68" i="4"/>
  <c r="AD56" i="4"/>
  <c r="AC56" i="4"/>
  <c r="AB56" i="4"/>
  <c r="AA56" i="4"/>
  <c r="Y56" i="4"/>
  <c r="Z56" i="4"/>
  <c r="AD44" i="4"/>
  <c r="AC44" i="4"/>
  <c r="AB44" i="4"/>
  <c r="AA44" i="4"/>
  <c r="Z44" i="4"/>
  <c r="Y44" i="4"/>
  <c r="K199" i="4" a="1"/>
  <c r="K199" i="4" s="1"/>
  <c r="K187" i="4" a="1"/>
  <c r="K187" i="4" s="1"/>
  <c r="K175" i="4" a="1"/>
  <c r="K175" i="4" s="1"/>
  <c r="K163" i="4" a="1"/>
  <c r="K163" i="4" s="1"/>
  <c r="K127" i="4" a="1"/>
  <c r="K127" i="4" s="1"/>
  <c r="K115" i="4" a="1"/>
  <c r="K115" i="4" s="1"/>
  <c r="K103" i="4" a="1"/>
  <c r="K103" i="4" s="1"/>
  <c r="K91" i="4" a="1"/>
  <c r="K91" i="4" s="1"/>
  <c r="K55" i="4" a="1"/>
  <c r="K55" i="4" s="1"/>
  <c r="K43" i="4" a="1"/>
  <c r="K43" i="4" s="1"/>
  <c r="V170" i="4"/>
  <c r="AD199" i="4"/>
  <c r="AC199" i="4"/>
  <c r="Z199" i="4"/>
  <c r="AA199" i="4"/>
  <c r="Y199" i="4"/>
  <c r="AB199" i="4"/>
  <c r="AD187" i="4"/>
  <c r="AC187" i="4"/>
  <c r="Z187" i="4"/>
  <c r="AB187" i="4"/>
  <c r="AA187" i="4"/>
  <c r="Y187" i="4"/>
  <c r="Y175" i="4"/>
  <c r="AD175" i="4"/>
  <c r="AC175" i="4"/>
  <c r="Z175" i="4"/>
  <c r="AB175" i="4"/>
  <c r="AA175" i="4"/>
  <c r="Y163" i="4"/>
  <c r="AD163" i="4"/>
  <c r="AC163" i="4"/>
  <c r="Z163" i="4"/>
  <c r="AA163" i="4"/>
  <c r="AB163" i="4"/>
  <c r="Y151" i="4"/>
  <c r="AD151" i="4"/>
  <c r="AC151" i="4"/>
  <c r="Z151" i="4"/>
  <c r="AA151" i="4"/>
  <c r="AB151" i="4"/>
  <c r="Y139" i="4"/>
  <c r="AD139" i="4"/>
  <c r="AC139" i="4"/>
  <c r="Z139" i="4"/>
  <c r="AB139" i="4"/>
  <c r="AA139" i="4"/>
  <c r="Y127" i="4"/>
  <c r="AD127" i="4"/>
  <c r="AC127" i="4"/>
  <c r="Z127" i="4"/>
  <c r="AB127" i="4"/>
  <c r="AA127" i="4"/>
  <c r="Y115" i="4"/>
  <c r="AD115" i="4"/>
  <c r="AC115" i="4"/>
  <c r="AB115" i="4"/>
  <c r="Z115" i="4"/>
  <c r="AA115" i="4"/>
  <c r="Y103" i="4"/>
  <c r="AD103" i="4"/>
  <c r="AC103" i="4"/>
  <c r="AB103" i="4"/>
  <c r="Z103" i="4"/>
  <c r="AA103" i="4"/>
  <c r="Y91" i="4"/>
  <c r="AD91" i="4"/>
  <c r="AC91" i="4"/>
  <c r="AB91" i="4"/>
  <c r="Z91" i="4"/>
  <c r="AA91" i="4"/>
  <c r="Y79" i="4"/>
  <c r="AD79" i="4"/>
  <c r="AC79" i="4"/>
  <c r="AB79" i="4"/>
  <c r="Z79" i="4"/>
  <c r="AA79" i="4"/>
  <c r="Y67" i="4"/>
  <c r="AD67" i="4"/>
  <c r="AC67" i="4"/>
  <c r="AB67" i="4"/>
  <c r="Z67" i="4"/>
  <c r="AA67" i="4"/>
  <c r="Y55" i="4"/>
  <c r="AD55" i="4"/>
  <c r="AC55" i="4"/>
  <c r="AB55" i="4"/>
  <c r="Z55" i="4"/>
  <c r="AA55" i="4"/>
  <c r="Y43" i="4"/>
  <c r="AD43" i="4"/>
  <c r="AC43" i="4"/>
  <c r="AB43" i="4"/>
  <c r="Z43" i="4"/>
  <c r="AA43" i="4"/>
  <c r="AD31" i="4"/>
  <c r="AA31" i="4"/>
  <c r="AC31" i="4"/>
  <c r="AB31" i="4"/>
  <c r="Z31" i="4"/>
  <c r="AD19" i="4"/>
  <c r="AC19" i="4"/>
  <c r="AB19" i="4"/>
  <c r="Z19" i="4"/>
  <c r="AA19" i="4"/>
  <c r="L24" i="4" a="1"/>
  <c r="L24" i="4" s="1"/>
  <c r="L25" i="4" a="1"/>
  <c r="L25" i="4" s="1"/>
  <c r="L36" i="4" a="1"/>
  <c r="L36" i="4" s="1"/>
  <c r="L23" i="4" a="1"/>
  <c r="L23" i="4" s="1"/>
  <c r="L35" i="4" a="1"/>
  <c r="L35" i="4" s="1"/>
  <c r="L22" i="4" a="1"/>
  <c r="L22" i="4" s="1"/>
  <c r="L34" i="4" a="1"/>
  <c r="L34" i="4" s="1"/>
  <c r="L21" i="4" a="1"/>
  <c r="L21" i="4" s="1"/>
  <c r="L33" i="4" a="1"/>
  <c r="L33" i="4" s="1"/>
  <c r="L20" i="4" a="1"/>
  <c r="L20" i="4" s="1"/>
  <c r="L32" i="4" a="1"/>
  <c r="L32" i="4" s="1"/>
  <c r="L28" i="4" a="1"/>
  <c r="L28" i="4" s="1"/>
  <c r="L15" i="4" a="1"/>
  <c r="L15" i="4" s="1"/>
  <c r="L27" i="4" a="1"/>
  <c r="L27" i="4" s="1"/>
  <c r="L14" i="4" a="1"/>
  <c r="L14" i="4" s="1"/>
  <c r="L16" i="4" a="1"/>
  <c r="L16" i="4" s="1"/>
  <c r="L26" i="4" a="1"/>
  <c r="L26" i="4" s="1"/>
  <c r="E13" i="5"/>
  <c r="E14" i="5" s="1"/>
  <c r="E21" i="5"/>
  <c r="AF11" i="4" s="1"/>
  <c r="Y11" i="4" s="1"/>
  <c r="S9" i="2"/>
  <c r="AD38" i="2"/>
  <c r="AA38" i="2"/>
  <c r="AC22" i="2"/>
  <c r="Z38" i="2"/>
  <c r="Z22" i="2"/>
  <c r="AB9" i="2"/>
  <c r="AG5" i="2"/>
  <c r="AC38" i="2"/>
  <c r="AB22" i="2"/>
  <c r="Z9" i="2"/>
  <c r="AB38" i="2"/>
  <c r="AA22" i="2"/>
  <c r="T9" i="2"/>
  <c r="Y38" i="2"/>
  <c r="X22" i="2"/>
  <c r="X38" i="2"/>
  <c r="W22" i="2"/>
  <c r="W38" i="2"/>
  <c r="V38" i="2"/>
  <c r="U22" i="2"/>
  <c r="V22" i="2"/>
  <c r="U38" i="2"/>
  <c r="T22" i="2"/>
  <c r="AE9" i="2"/>
  <c r="T38" i="2"/>
  <c r="AE22" i="2"/>
  <c r="S22" i="2"/>
  <c r="AD9" i="2"/>
  <c r="AE38" i="2"/>
  <c r="S38" i="2"/>
  <c r="AD22" i="2"/>
  <c r="AC9" i="2"/>
  <c r="EM49" i="2"/>
  <c r="EO36" i="2"/>
  <c r="DU36" i="2"/>
  <c r="DH36" i="2"/>
  <c r="CU36" i="2"/>
  <c r="ER49" i="2"/>
  <c r="EE49" i="2"/>
  <c r="DR49" i="2"/>
  <c r="DK49" i="2"/>
  <c r="DE49" i="2"/>
  <c r="CY49" i="2"/>
  <c r="CR49" i="2"/>
  <c r="CL49" i="2"/>
  <c r="EW20" i="2"/>
  <c r="EQ20" i="2"/>
  <c r="EJ20" i="2"/>
  <c r="ED20" i="2"/>
  <c r="DW20" i="2"/>
  <c r="DQ20" i="2"/>
  <c r="DJ20" i="2"/>
  <c r="DD20" i="2"/>
  <c r="CW20" i="2"/>
  <c r="CQ20" i="2"/>
  <c r="CK20" i="2"/>
  <c r="EH36" i="2"/>
  <c r="DO36" i="2"/>
  <c r="DB36" i="2"/>
  <c r="CO36" i="2"/>
  <c r="EX49" i="2"/>
  <c r="EK49" i="2"/>
  <c r="DX49" i="2"/>
  <c r="EZ36" i="2"/>
  <c r="ET36" i="2"/>
  <c r="EM36" i="2"/>
  <c r="EG36" i="2"/>
  <c r="EA36" i="2"/>
  <c r="DT36" i="2"/>
  <c r="DN36" i="2"/>
  <c r="DG36" i="2"/>
  <c r="DA36" i="2"/>
  <c r="CT36" i="2"/>
  <c r="CN36" i="2"/>
  <c r="CQ49" i="2"/>
  <c r="EV20" i="2"/>
  <c r="EP20" i="2"/>
  <c r="EI20" i="2"/>
  <c r="EC20" i="2"/>
  <c r="DV20" i="2"/>
  <c r="DP20" i="2"/>
  <c r="DI20" i="2"/>
  <c r="DC20" i="2"/>
  <c r="CV20" i="2"/>
  <c r="CP20" i="2"/>
  <c r="DQ49" i="2"/>
  <c r="ES36" i="2"/>
  <c r="EL36" i="2"/>
  <c r="EF36" i="2"/>
  <c r="DY36" i="2"/>
  <c r="DS36" i="2"/>
  <c r="DM36" i="2"/>
  <c r="DF36" i="2"/>
  <c r="CZ36" i="2"/>
  <c r="CS36" i="2"/>
  <c r="CM36" i="2"/>
  <c r="EU36" i="2"/>
  <c r="EQ49" i="2"/>
  <c r="CK49" i="2"/>
  <c r="EV49" i="2"/>
  <c r="EI49" i="2"/>
  <c r="DV49" i="2"/>
  <c r="DI49" i="2"/>
  <c r="DC49" i="2"/>
  <c r="CV49" i="2"/>
  <c r="CP49" i="2"/>
  <c r="FA20" i="2"/>
  <c r="EU20" i="2"/>
  <c r="EO20" i="2"/>
  <c r="EH20" i="2"/>
  <c r="EB20" i="2"/>
  <c r="DU20" i="2"/>
  <c r="DO20" i="2"/>
  <c r="DH20" i="2"/>
  <c r="DB20" i="2"/>
  <c r="CU20" i="2"/>
  <c r="CO20" i="2"/>
  <c r="FA36" i="2"/>
  <c r="EJ49" i="2"/>
  <c r="DD49" i="2"/>
  <c r="EP49" i="2"/>
  <c r="EC49" i="2"/>
  <c r="DP49" i="2"/>
  <c r="EX36" i="2"/>
  <c r="ER36" i="2"/>
  <c r="EK36" i="2"/>
  <c r="EE36" i="2"/>
  <c r="DX36" i="2"/>
  <c r="DR36" i="2"/>
  <c r="DK36" i="2"/>
  <c r="DE36" i="2"/>
  <c r="CY36" i="2"/>
  <c r="CR36" i="2"/>
  <c r="CL36" i="2"/>
  <c r="ET49" i="2"/>
  <c r="EB36" i="2"/>
  <c r="ED49" i="2"/>
  <c r="DJ49" i="2"/>
  <c r="EY36" i="2"/>
  <c r="EU49" i="2"/>
  <c r="EH49" i="2"/>
  <c r="DU49" i="2"/>
  <c r="DH49" i="2"/>
  <c r="DB49" i="2"/>
  <c r="CU49" i="2"/>
  <c r="CO49" i="2"/>
  <c r="EZ20" i="2"/>
  <c r="ET20" i="2"/>
  <c r="EM20" i="2"/>
  <c r="EG20" i="2"/>
  <c r="EA20" i="2"/>
  <c r="DT20" i="2"/>
  <c r="DN20" i="2"/>
  <c r="DG20" i="2"/>
  <c r="DA20" i="2"/>
  <c r="CT20" i="2"/>
  <c r="CN20" i="2"/>
  <c r="EZ49" i="2"/>
  <c r="EW49" i="2"/>
  <c r="DW49" i="2"/>
  <c r="CW49" i="2"/>
  <c r="FA49" i="2"/>
  <c r="EO49" i="2"/>
  <c r="EB49" i="2"/>
  <c r="DO49" i="2"/>
  <c r="EW36" i="2"/>
  <c r="EQ36" i="2"/>
  <c r="EJ36" i="2"/>
  <c r="ED36" i="2"/>
  <c r="DW36" i="2"/>
  <c r="DQ36" i="2"/>
  <c r="DJ36" i="2"/>
  <c r="DD36" i="2"/>
  <c r="CW36" i="2"/>
  <c r="CQ36" i="2"/>
  <c r="CK36" i="2"/>
  <c r="DT49" i="2"/>
  <c r="CT49" i="2"/>
  <c r="EY20" i="2"/>
  <c r="ES20" i="2"/>
  <c r="EL20" i="2"/>
  <c r="EF20" i="2"/>
  <c r="DY20" i="2"/>
  <c r="DS20" i="2"/>
  <c r="DM20" i="2"/>
  <c r="DF20" i="2"/>
  <c r="CZ20" i="2"/>
  <c r="CS20" i="2"/>
  <c r="CM20" i="2"/>
  <c r="EA49" i="2"/>
  <c r="CN49" i="2"/>
  <c r="EV36" i="2"/>
  <c r="EP36" i="2"/>
  <c r="EI36" i="2"/>
  <c r="EC36" i="2"/>
  <c r="DV36" i="2"/>
  <c r="DP36" i="2"/>
  <c r="DI36" i="2"/>
  <c r="DC36" i="2"/>
  <c r="CV36" i="2"/>
  <c r="CP36" i="2"/>
  <c r="EG49" i="2"/>
  <c r="DN49" i="2"/>
  <c r="DG49" i="2"/>
  <c r="DA49" i="2"/>
  <c r="EY49" i="2"/>
  <c r="ES49" i="2"/>
  <c r="EL49" i="2"/>
  <c r="EF49" i="2"/>
  <c r="DY49" i="2"/>
  <c r="DS49" i="2"/>
  <c r="DM49" i="2"/>
  <c r="DF49" i="2"/>
  <c r="CZ49" i="2"/>
  <c r="CS49" i="2"/>
  <c r="CM49" i="2"/>
  <c r="EX20" i="2"/>
  <c r="ER20" i="2"/>
  <c r="EK20" i="2"/>
  <c r="EE20" i="2"/>
  <c r="DX20" i="2"/>
  <c r="DR20" i="2"/>
  <c r="DK20" i="2"/>
  <c r="DE20" i="2"/>
  <c r="CY20" i="2"/>
  <c r="CR20" i="2"/>
  <c r="CL20" i="2"/>
  <c r="BI49" i="2"/>
  <c r="CE49" i="2"/>
  <c r="BL49" i="2"/>
  <c r="AL49" i="2"/>
  <c r="BN36" i="2"/>
  <c r="AU36" i="2"/>
  <c r="BW20" i="2"/>
  <c r="BK49" i="2"/>
  <c r="CC49" i="2"/>
  <c r="BP49" i="2"/>
  <c r="BC49" i="2"/>
  <c r="AP49" i="2"/>
  <c r="CE36" i="2"/>
  <c r="BR36" i="2"/>
  <c r="BE36" i="2"/>
  <c r="AL36" i="2"/>
  <c r="CA20" i="2"/>
  <c r="BN20" i="2"/>
  <c r="BG20" i="2"/>
  <c r="BA20" i="2"/>
  <c r="AN20" i="2"/>
  <c r="AH20" i="2"/>
  <c r="AO49" i="2"/>
  <c r="CD36" i="2"/>
  <c r="BY49" i="2"/>
  <c r="AR49" i="2"/>
  <c r="CA36" i="2"/>
  <c r="BA36" i="2"/>
  <c r="AH36" i="2"/>
  <c r="BP20" i="2"/>
  <c r="BQ49" i="2"/>
  <c r="CI49" i="2"/>
  <c r="BW49" i="2"/>
  <c r="BJ49" i="2"/>
  <c r="AW49" i="2"/>
  <c r="AJ49" i="2"/>
  <c r="BY36" i="2"/>
  <c r="BL36" i="2"/>
  <c r="AY36" i="2"/>
  <c r="AR36" i="2"/>
  <c r="CG20" i="2"/>
  <c r="BT20" i="2"/>
  <c r="AU20" i="2"/>
  <c r="BO49" i="2"/>
  <c r="BD36" i="2"/>
  <c r="BS20" i="2"/>
  <c r="BM20" i="2"/>
  <c r="BF20" i="2"/>
  <c r="AS20" i="2"/>
  <c r="AM20" i="2"/>
  <c r="AG20" i="2"/>
  <c r="AX36" i="2"/>
  <c r="AZ20" i="2"/>
  <c r="BK36" i="2"/>
  <c r="BT49" i="2"/>
  <c r="AN49" i="2"/>
  <c r="CC36" i="2"/>
  <c r="AW36" i="2"/>
  <c r="AR20" i="2"/>
  <c r="CH49" i="2"/>
  <c r="AI49" i="2"/>
  <c r="BQ36" i="2"/>
  <c r="AK36" i="2"/>
  <c r="CA49" i="2"/>
  <c r="BG49" i="2"/>
  <c r="BA49" i="2"/>
  <c r="AU49" i="2"/>
  <c r="AH49" i="2"/>
  <c r="CI36" i="2"/>
  <c r="BW36" i="2"/>
  <c r="BP36" i="2"/>
  <c r="BJ36" i="2"/>
  <c r="BC36" i="2"/>
  <c r="AP36" i="2"/>
  <c r="AJ36" i="2"/>
  <c r="CE20" i="2"/>
  <c r="BY20" i="2"/>
  <c r="BR20" i="2"/>
  <c r="BL20" i="2"/>
  <c r="BE20" i="2"/>
  <c r="AY20" i="2"/>
  <c r="AL20" i="2"/>
  <c r="BB49" i="2"/>
  <c r="BX36" i="2"/>
  <c r="AQ36" i="2"/>
  <c r="BZ20" i="2"/>
  <c r="CG49" i="2"/>
  <c r="BN49" i="2"/>
  <c r="CF49" i="2"/>
  <c r="BZ49" i="2"/>
  <c r="BS49" i="2"/>
  <c r="BM49" i="2"/>
  <c r="BF49" i="2"/>
  <c r="AS49" i="2"/>
  <c r="AM49" i="2"/>
  <c r="AG49" i="2"/>
  <c r="CH36" i="2"/>
  <c r="CB36" i="2"/>
  <c r="BU36" i="2"/>
  <c r="BO36" i="2"/>
  <c r="BI36" i="2"/>
  <c r="BB36" i="2"/>
  <c r="AV36" i="2"/>
  <c r="AO36" i="2"/>
  <c r="AI36" i="2"/>
  <c r="CD20" i="2"/>
  <c r="BX20" i="2"/>
  <c r="BQ20" i="2"/>
  <c r="BK20" i="2"/>
  <c r="BD20" i="2"/>
  <c r="AX20" i="2"/>
  <c r="AQ20" i="2"/>
  <c r="AK20" i="2"/>
  <c r="BU49" i="2"/>
  <c r="CF20" i="2"/>
  <c r="AZ49" i="2"/>
  <c r="CB49" i="2"/>
  <c r="BT36" i="2"/>
  <c r="CI20" i="2"/>
  <c r="BJ20" i="2"/>
  <c r="AW20" i="2"/>
  <c r="AP20" i="2"/>
  <c r="AJ20" i="2"/>
  <c r="BE49" i="2"/>
  <c r="BC20" i="2"/>
  <c r="AV49" i="2"/>
  <c r="BR49" i="2"/>
  <c r="AY49" i="2"/>
  <c r="CG36" i="2"/>
  <c r="BG36" i="2"/>
  <c r="AN36" i="2"/>
  <c r="CC20" i="2"/>
  <c r="CD49" i="2"/>
  <c r="BX49" i="2"/>
  <c r="BD49" i="2"/>
  <c r="AX49" i="2"/>
  <c r="AQ49" i="2"/>
  <c r="AK49" i="2"/>
  <c r="CF36" i="2"/>
  <c r="BZ36" i="2"/>
  <c r="BS36" i="2"/>
  <c r="BM36" i="2"/>
  <c r="BF36" i="2"/>
  <c r="AZ36" i="2"/>
  <c r="AS36" i="2"/>
  <c r="AM36" i="2"/>
  <c r="AG36" i="2"/>
  <c r="CH20" i="2"/>
  <c r="CB20" i="2"/>
  <c r="BU20" i="2"/>
  <c r="BO20" i="2"/>
  <c r="BI20" i="2"/>
  <c r="BB20" i="2"/>
  <c r="AV20" i="2"/>
  <c r="AO20" i="2"/>
  <c r="AI20" i="2"/>
  <c r="Y9" i="2"/>
  <c r="X9" i="2"/>
  <c r="U9" i="2"/>
  <c r="AA9" i="2"/>
  <c r="W9" i="2"/>
  <c r="AC49" i="2"/>
  <c r="AD20" i="2"/>
  <c r="X20" i="2"/>
  <c r="AC36" i="2"/>
  <c r="W36" i="2"/>
  <c r="AB36" i="2"/>
  <c r="V36" i="2"/>
  <c r="V49" i="2"/>
  <c r="AB20" i="2"/>
  <c r="V20" i="2"/>
  <c r="AC20" i="2"/>
  <c r="U49" i="2"/>
  <c r="AA36" i="2"/>
  <c r="U36" i="2"/>
  <c r="W49" i="2"/>
  <c r="AA49" i="2"/>
  <c r="T49" i="2"/>
  <c r="AA20" i="2"/>
  <c r="U20" i="2"/>
  <c r="W20" i="2"/>
  <c r="Z49" i="2"/>
  <c r="Z36" i="2"/>
  <c r="T36" i="2"/>
  <c r="AE49" i="2"/>
  <c r="Y49" i="2"/>
  <c r="S49" i="2"/>
  <c r="Z20" i="2"/>
  <c r="T20" i="2"/>
  <c r="AE36" i="2"/>
  <c r="Y36" i="2"/>
  <c r="S36" i="2"/>
  <c r="X49" i="2"/>
  <c r="AE20" i="2"/>
  <c r="Y20" i="2"/>
  <c r="S20" i="2"/>
  <c r="AB49" i="2"/>
  <c r="AD49" i="2"/>
  <c r="AD36" i="2"/>
  <c r="X36" i="2"/>
  <c r="K49" i="2"/>
  <c r="Q49" i="2"/>
  <c r="J49" i="2"/>
  <c r="P49" i="2"/>
  <c r="I49" i="2"/>
  <c r="O49" i="2"/>
  <c r="H49" i="2"/>
  <c r="N49" i="2"/>
  <c r="G49" i="2"/>
  <c r="M49" i="2"/>
  <c r="L49" i="2"/>
  <c r="F49" i="2"/>
  <c r="E49" i="2"/>
  <c r="K36" i="2"/>
  <c r="J36" i="2"/>
  <c r="Q36" i="2"/>
  <c r="P36" i="2"/>
  <c r="O36" i="2"/>
  <c r="I36" i="2"/>
  <c r="N36" i="2"/>
  <c r="H36" i="2"/>
  <c r="G36" i="2"/>
  <c r="M36" i="2"/>
  <c r="L36" i="2"/>
  <c r="F36" i="2"/>
  <c r="E36" i="2"/>
  <c r="K20" i="2"/>
  <c r="Q20" i="2"/>
  <c r="J20" i="2"/>
  <c r="P20" i="2"/>
  <c r="I20" i="2"/>
  <c r="O20" i="2"/>
  <c r="H20" i="2"/>
  <c r="N20" i="2"/>
  <c r="G20" i="2"/>
  <c r="K63" i="5" s="1" a="1"/>
  <c r="K63" i="5" s="1"/>
  <c r="M20" i="2"/>
  <c r="L20" i="2"/>
  <c r="F20" i="2"/>
  <c r="E20" i="2"/>
  <c r="K96" i="5" l="1" a="1"/>
  <c r="K96" i="5" s="1"/>
  <c r="F95" i="5"/>
  <c r="J95" i="5" s="1" a="1"/>
  <c r="J95" i="5" s="1"/>
  <c r="K64" i="5" a="1"/>
  <c r="K64" i="5" s="1"/>
  <c r="P64" i="5" s="1"/>
  <c r="F99" i="5"/>
  <c r="J99" i="5" s="1" a="1"/>
  <c r="J99" i="5" s="1"/>
  <c r="F93" i="5"/>
  <c r="J93" i="5" s="1" a="1"/>
  <c r="J93" i="5" s="1"/>
  <c r="F92" i="5"/>
  <c r="J92" i="5" s="1" a="1"/>
  <c r="J92" i="5" s="1"/>
  <c r="F101" i="5"/>
  <c r="J101" i="5" s="1" a="1"/>
  <c r="J101" i="5" s="1"/>
  <c r="P63" i="5"/>
  <c r="F76" i="5"/>
  <c r="J76" i="5" s="1" a="1"/>
  <c r="J76" i="5" s="1"/>
  <c r="K81" i="5" a="1"/>
  <c r="K81" i="5" s="1"/>
  <c r="P81" i="5" s="1"/>
  <c r="K65" i="5" a="1"/>
  <c r="K65" i="5" s="1"/>
  <c r="P65" i="5" s="1"/>
  <c r="F97" i="5"/>
  <c r="J97" i="5" s="1" a="1"/>
  <c r="J97" i="5" s="1"/>
  <c r="K91" i="5" a="1"/>
  <c r="K91" i="5" s="1"/>
  <c r="P91" i="5" s="1"/>
  <c r="K75" i="5" a="1"/>
  <c r="K75" i="5" s="1"/>
  <c r="P75" i="5" s="1"/>
  <c r="K100" i="5" a="1"/>
  <c r="K100" i="5" s="1"/>
  <c r="M100" i="5" s="1"/>
  <c r="P96" i="5"/>
  <c r="M63" i="5"/>
  <c r="M96" i="5"/>
  <c r="F77" i="5"/>
  <c r="J77" i="5" s="1" a="1"/>
  <c r="J77" i="5" s="1"/>
  <c r="F88" i="5"/>
  <c r="J88" i="5" s="1" a="1"/>
  <c r="J88" i="5" s="1"/>
  <c r="F87" i="5"/>
  <c r="J87" i="5" s="1" a="1"/>
  <c r="J87" i="5" s="1"/>
  <c r="K89" i="5" a="1"/>
  <c r="K89" i="5" s="1"/>
  <c r="P89" i="5" s="1"/>
  <c r="F60" i="5"/>
  <c r="J60" i="5" s="1" a="1"/>
  <c r="J60" i="5" s="1"/>
  <c r="F59" i="5"/>
  <c r="J59" i="5" s="1" a="1"/>
  <c r="J59" i="5" s="1"/>
  <c r="F61" i="5"/>
  <c r="J61" i="5" s="1" a="1"/>
  <c r="J61" i="5" s="1"/>
  <c r="F71" i="5"/>
  <c r="J71" i="5" s="1" a="1"/>
  <c r="J71" i="5" s="1"/>
  <c r="F72" i="5"/>
  <c r="J72" i="5" s="1" a="1"/>
  <c r="J72" i="5" s="1"/>
  <c r="F73" i="5"/>
  <c r="J73" i="5" s="1" a="1"/>
  <c r="J73" i="5" s="1"/>
  <c r="F79" i="5"/>
  <c r="J79" i="5" s="1" a="1"/>
  <c r="J79" i="5" s="1"/>
  <c r="F80" i="5"/>
  <c r="J80" i="5" s="1" a="1"/>
  <c r="J80" i="5" s="1"/>
  <c r="F83" i="5"/>
  <c r="J83" i="5" s="1" a="1"/>
  <c r="J83" i="5" s="1"/>
  <c r="F84" i="5"/>
  <c r="J84" i="5" s="1" a="1"/>
  <c r="J84" i="5" s="1"/>
  <c r="F85" i="5"/>
  <c r="J85" i="5" s="1" a="1"/>
  <c r="J85" i="5" s="1"/>
  <c r="F55" i="5"/>
  <c r="J55" i="5" s="1" a="1"/>
  <c r="J55" i="5" s="1"/>
  <c r="F56" i="5"/>
  <c r="J56" i="5" s="1" a="1"/>
  <c r="J56" i="5" s="1"/>
  <c r="F57" i="5"/>
  <c r="J57" i="5" s="1" a="1"/>
  <c r="J57" i="5" s="1"/>
  <c r="F67" i="5"/>
  <c r="J67" i="5" s="1" a="1"/>
  <c r="J67" i="5" s="1"/>
  <c r="F68" i="5"/>
  <c r="J68" i="5" s="1" a="1"/>
  <c r="J68" i="5" s="1"/>
  <c r="F69" i="5"/>
  <c r="J69" i="5" s="1" a="1"/>
  <c r="J69" i="5" s="1"/>
  <c r="L63" i="5"/>
  <c r="L64" i="5"/>
  <c r="L96" i="5"/>
  <c r="X137" i="4"/>
  <c r="X149" i="4"/>
  <c r="X161" i="4"/>
  <c r="X197" i="4"/>
  <c r="T197" i="4"/>
  <c r="M137" i="4" a="1"/>
  <c r="M137" i="4" s="1"/>
  <c r="M149" i="4" a="1"/>
  <c r="M149" i="4" s="1"/>
  <c r="P161" i="4"/>
  <c r="M197" i="4" a="1"/>
  <c r="M197" i="4" s="1"/>
  <c r="P137" i="4"/>
  <c r="P149" i="4"/>
  <c r="M161" i="4" a="1"/>
  <c r="M161" i="4" s="1"/>
  <c r="R197" i="4"/>
  <c r="R137" i="4"/>
  <c r="R149" i="4"/>
  <c r="R161" i="4"/>
  <c r="P197" i="4"/>
  <c r="T161" i="4"/>
  <c r="Q137" i="4"/>
  <c r="W149" i="4"/>
  <c r="Q161" i="4"/>
  <c r="Q197" i="4"/>
  <c r="O137" i="4"/>
  <c r="Q149" i="4"/>
  <c r="O161" i="4"/>
  <c r="O197" i="4"/>
  <c r="N137" i="4" a="1"/>
  <c r="N137" i="4" s="1"/>
  <c r="O149" i="4"/>
  <c r="N161" i="4" a="1"/>
  <c r="N161" i="4" s="1"/>
  <c r="S197" i="4"/>
  <c r="U137" i="4"/>
  <c r="N149" i="4" a="1"/>
  <c r="N149" i="4" s="1"/>
  <c r="W161" i="4"/>
  <c r="N197" i="4" a="1"/>
  <c r="N197" i="4" s="1"/>
  <c r="D14" i="4"/>
  <c r="I14" i="4" s="1" a="1"/>
  <c r="I14" i="4" s="1"/>
  <c r="K14" i="4" s="1" a="1"/>
  <c r="K14" i="4" s="1"/>
  <c r="S137" i="4"/>
  <c r="U149" i="4"/>
  <c r="U161" i="4"/>
  <c r="W197" i="4"/>
  <c r="W137" i="4"/>
  <c r="S149" i="4"/>
  <c r="S161" i="4"/>
  <c r="U197" i="4"/>
  <c r="X78" i="4"/>
  <c r="W78" i="4"/>
  <c r="T78" i="4"/>
  <c r="V78" i="4"/>
  <c r="S78" i="4"/>
  <c r="U78" i="4"/>
  <c r="R78" i="4"/>
  <c r="N78" i="4" a="1"/>
  <c r="N78" i="4" s="1"/>
  <c r="O78" i="4"/>
  <c r="Q78" i="4"/>
  <c r="M78" i="4" a="1"/>
  <c r="M78" i="4" s="1"/>
  <c r="P78" i="4"/>
  <c r="W68" i="4"/>
  <c r="T68" i="4"/>
  <c r="V68" i="4"/>
  <c r="S68" i="4"/>
  <c r="U68" i="4"/>
  <c r="X68" i="4"/>
  <c r="P68" i="4"/>
  <c r="R68" i="4"/>
  <c r="M68" i="4" a="1"/>
  <c r="M68" i="4" s="1"/>
  <c r="N68" i="4" a="1"/>
  <c r="N68" i="4" s="1"/>
  <c r="O68" i="4"/>
  <c r="Q68" i="4"/>
  <c r="W69" i="4"/>
  <c r="T69" i="4"/>
  <c r="V69" i="4"/>
  <c r="S69" i="4"/>
  <c r="U69" i="4"/>
  <c r="X69" i="4"/>
  <c r="P69" i="4"/>
  <c r="R69" i="4"/>
  <c r="N69" i="4" a="1"/>
  <c r="N69" i="4" s="1"/>
  <c r="Q69" i="4"/>
  <c r="O69" i="4"/>
  <c r="M69" i="4" a="1"/>
  <c r="M69" i="4" s="1"/>
  <c r="T166" i="4"/>
  <c r="V166" i="4"/>
  <c r="X166" i="4"/>
  <c r="S166" i="4"/>
  <c r="U166" i="4"/>
  <c r="Q166" i="4"/>
  <c r="P166" i="4"/>
  <c r="R166" i="4"/>
  <c r="N166" i="4" a="1"/>
  <c r="N166" i="4" s="1"/>
  <c r="W166" i="4"/>
  <c r="M166" i="4" a="1"/>
  <c r="M166" i="4" s="1"/>
  <c r="O166" i="4"/>
  <c r="X179" i="4"/>
  <c r="W179" i="4"/>
  <c r="T179" i="4"/>
  <c r="V179" i="4"/>
  <c r="O179" i="4"/>
  <c r="Q179" i="4"/>
  <c r="U179" i="4"/>
  <c r="P179" i="4"/>
  <c r="R179" i="4"/>
  <c r="N179" i="4" a="1"/>
  <c r="N179" i="4" s="1"/>
  <c r="S179" i="4"/>
  <c r="M179" i="4" a="1"/>
  <c r="M179" i="4" s="1"/>
  <c r="X72" i="4"/>
  <c r="W72" i="4"/>
  <c r="U72" i="4"/>
  <c r="T72" i="4"/>
  <c r="V72" i="4"/>
  <c r="S72" i="4"/>
  <c r="O72" i="4"/>
  <c r="Q72" i="4"/>
  <c r="P72" i="4"/>
  <c r="R72" i="4"/>
  <c r="M72" i="4" a="1"/>
  <c r="M72" i="4" s="1"/>
  <c r="N72" i="4" a="1"/>
  <c r="N72" i="4" s="1"/>
  <c r="X194" i="4"/>
  <c r="W194" i="4"/>
  <c r="U194" i="4"/>
  <c r="T194" i="4"/>
  <c r="V194" i="4"/>
  <c r="O194" i="4"/>
  <c r="Q194" i="4"/>
  <c r="S194" i="4"/>
  <c r="P194" i="4"/>
  <c r="R194" i="4"/>
  <c r="M194" i="4" a="1"/>
  <c r="M194" i="4" s="1"/>
  <c r="N194" i="4" a="1"/>
  <c r="N194" i="4" s="1"/>
  <c r="X193" i="4"/>
  <c r="U193" i="4"/>
  <c r="W193" i="4"/>
  <c r="T193" i="4"/>
  <c r="V193" i="4"/>
  <c r="O193" i="4"/>
  <c r="Q193" i="4"/>
  <c r="S193" i="4"/>
  <c r="P193" i="4"/>
  <c r="R193" i="4"/>
  <c r="M193" i="4" a="1"/>
  <c r="M193" i="4" s="1"/>
  <c r="N193" i="4" a="1"/>
  <c r="N193" i="4" s="1"/>
  <c r="X60" i="4"/>
  <c r="W60" i="4"/>
  <c r="U60" i="4"/>
  <c r="T60" i="4"/>
  <c r="V60" i="4"/>
  <c r="S60" i="4"/>
  <c r="O60" i="4"/>
  <c r="Q60" i="4"/>
  <c r="P60" i="4"/>
  <c r="R60" i="4"/>
  <c r="M60" i="4" a="1"/>
  <c r="M60" i="4" s="1"/>
  <c r="N60" i="4" a="1"/>
  <c r="N60" i="4" s="1"/>
  <c r="X90" i="4"/>
  <c r="T90" i="4"/>
  <c r="V90" i="4"/>
  <c r="W90" i="4"/>
  <c r="S90" i="4"/>
  <c r="U90" i="4"/>
  <c r="R90" i="4"/>
  <c r="N90" i="4" a="1"/>
  <c r="N90" i="4" s="1"/>
  <c r="O90" i="4"/>
  <c r="Q90" i="4"/>
  <c r="M90" i="4" a="1"/>
  <c r="M90" i="4" s="1"/>
  <c r="P90" i="4"/>
  <c r="W80" i="4"/>
  <c r="X80" i="4"/>
  <c r="T80" i="4"/>
  <c r="V80" i="4"/>
  <c r="S80" i="4"/>
  <c r="U80" i="4"/>
  <c r="P80" i="4"/>
  <c r="R80" i="4"/>
  <c r="M80" i="4" a="1"/>
  <c r="M80" i="4" s="1"/>
  <c r="N80" i="4" a="1"/>
  <c r="N80" i="4" s="1"/>
  <c r="O80" i="4"/>
  <c r="Q80" i="4"/>
  <c r="W81" i="4"/>
  <c r="X81" i="4"/>
  <c r="T81" i="4"/>
  <c r="V81" i="4"/>
  <c r="S81" i="4"/>
  <c r="U81" i="4"/>
  <c r="P81" i="4"/>
  <c r="R81" i="4"/>
  <c r="N81" i="4" a="1"/>
  <c r="N81" i="4" s="1"/>
  <c r="M81" i="4" a="1"/>
  <c r="M81" i="4" s="1"/>
  <c r="Q81" i="4"/>
  <c r="O81" i="4"/>
  <c r="X178" i="4"/>
  <c r="T178" i="4"/>
  <c r="W178" i="4"/>
  <c r="V178" i="4"/>
  <c r="S178" i="4"/>
  <c r="U178" i="4"/>
  <c r="Q178" i="4"/>
  <c r="P178" i="4"/>
  <c r="R178" i="4"/>
  <c r="N178" i="4" a="1"/>
  <c r="N178" i="4" s="1"/>
  <c r="M178" i="4" a="1"/>
  <c r="M178" i="4" s="1"/>
  <c r="O178" i="4"/>
  <c r="X47" i="4"/>
  <c r="V47" i="4"/>
  <c r="W47" i="4"/>
  <c r="T47" i="4"/>
  <c r="S47" i="4"/>
  <c r="O47" i="4"/>
  <c r="Q47" i="4"/>
  <c r="U47" i="4"/>
  <c r="P47" i="4"/>
  <c r="R47" i="4"/>
  <c r="N47" i="4" a="1"/>
  <c r="N47" i="4" s="1"/>
  <c r="M47" i="4" a="1"/>
  <c r="M47" i="4" s="1"/>
  <c r="X191" i="4"/>
  <c r="W191" i="4"/>
  <c r="T191" i="4"/>
  <c r="V191" i="4"/>
  <c r="O191" i="4"/>
  <c r="Q191" i="4"/>
  <c r="U191" i="4"/>
  <c r="S191" i="4"/>
  <c r="P191" i="4"/>
  <c r="R191" i="4"/>
  <c r="N191" i="4" a="1"/>
  <c r="N191" i="4" s="1"/>
  <c r="M191" i="4" a="1"/>
  <c r="M191" i="4" s="1"/>
  <c r="X84" i="4"/>
  <c r="W84" i="4"/>
  <c r="U84" i="4"/>
  <c r="T84" i="4"/>
  <c r="V84" i="4"/>
  <c r="S84" i="4"/>
  <c r="O84" i="4"/>
  <c r="Q84" i="4"/>
  <c r="P84" i="4"/>
  <c r="R84" i="4"/>
  <c r="M84" i="4" a="1"/>
  <c r="M84" i="4" s="1"/>
  <c r="N84" i="4" a="1"/>
  <c r="N84" i="4" s="1"/>
  <c r="X157" i="4"/>
  <c r="U157" i="4"/>
  <c r="W157" i="4"/>
  <c r="T157" i="4"/>
  <c r="V157" i="4"/>
  <c r="S157" i="4"/>
  <c r="O157" i="4"/>
  <c r="Q157" i="4"/>
  <c r="P157" i="4"/>
  <c r="R157" i="4"/>
  <c r="N157" i="4" a="1"/>
  <c r="N157" i="4" s="1"/>
  <c r="M157" i="4" a="1"/>
  <c r="M157" i="4" s="1"/>
  <c r="X85" i="4"/>
  <c r="W85" i="4"/>
  <c r="U85" i="4"/>
  <c r="T85" i="4"/>
  <c r="V85" i="4"/>
  <c r="S85" i="4"/>
  <c r="O85" i="4"/>
  <c r="Q85" i="4"/>
  <c r="P85" i="4"/>
  <c r="R85" i="4"/>
  <c r="M85" i="4" a="1"/>
  <c r="M85" i="4" s="1"/>
  <c r="N85" i="4" a="1"/>
  <c r="N85" i="4" s="1"/>
  <c r="X97" i="4"/>
  <c r="W97" i="4"/>
  <c r="U97" i="4"/>
  <c r="T97" i="4"/>
  <c r="V97" i="4"/>
  <c r="O97" i="4"/>
  <c r="Q97" i="4"/>
  <c r="S97" i="4"/>
  <c r="P97" i="4"/>
  <c r="R97" i="4"/>
  <c r="M97" i="4" a="1"/>
  <c r="M97" i="4" s="1"/>
  <c r="N97" i="4" a="1"/>
  <c r="N97" i="4" s="1"/>
  <c r="X102" i="4"/>
  <c r="T102" i="4"/>
  <c r="V102" i="4"/>
  <c r="S102" i="4"/>
  <c r="U102" i="4"/>
  <c r="W102" i="4"/>
  <c r="R102" i="4"/>
  <c r="N102" i="4" a="1"/>
  <c r="N102" i="4" s="1"/>
  <c r="O102" i="4"/>
  <c r="Q102" i="4"/>
  <c r="M102" i="4" a="1"/>
  <c r="M102" i="4" s="1"/>
  <c r="P102" i="4"/>
  <c r="W92" i="4"/>
  <c r="T92" i="4"/>
  <c r="V92" i="4"/>
  <c r="X92" i="4"/>
  <c r="S92" i="4"/>
  <c r="U92" i="4"/>
  <c r="P92" i="4"/>
  <c r="R92" i="4"/>
  <c r="M92" i="4" a="1"/>
  <c r="M92" i="4" s="1"/>
  <c r="N92" i="4" a="1"/>
  <c r="N92" i="4" s="1"/>
  <c r="O92" i="4"/>
  <c r="Q92" i="4"/>
  <c r="W93" i="4"/>
  <c r="T93" i="4"/>
  <c r="V93" i="4"/>
  <c r="X93" i="4"/>
  <c r="S93" i="4"/>
  <c r="U93" i="4"/>
  <c r="P93" i="4"/>
  <c r="R93" i="4"/>
  <c r="N93" i="4" a="1"/>
  <c r="N93" i="4" s="1"/>
  <c r="Q93" i="4"/>
  <c r="O93" i="4"/>
  <c r="M93" i="4" a="1"/>
  <c r="M93" i="4" s="1"/>
  <c r="W46" i="4"/>
  <c r="X46" i="4"/>
  <c r="T46" i="4"/>
  <c r="S46" i="4"/>
  <c r="V46" i="4"/>
  <c r="U46" i="4"/>
  <c r="Q46" i="4"/>
  <c r="P46" i="4"/>
  <c r="R46" i="4"/>
  <c r="N46" i="4" a="1"/>
  <c r="N46" i="4" s="1"/>
  <c r="O46" i="4"/>
  <c r="M46" i="4" a="1"/>
  <c r="M46" i="4" s="1"/>
  <c r="W190" i="4"/>
  <c r="X190" i="4"/>
  <c r="T190" i="4"/>
  <c r="V190" i="4"/>
  <c r="S190" i="4"/>
  <c r="U190" i="4"/>
  <c r="Q190" i="4"/>
  <c r="P190" i="4"/>
  <c r="R190" i="4"/>
  <c r="N190" i="4" a="1"/>
  <c r="N190" i="4" s="1"/>
  <c r="M190" i="4" a="1"/>
  <c r="M190" i="4" s="1"/>
  <c r="O190" i="4"/>
  <c r="X59" i="4"/>
  <c r="W59" i="4"/>
  <c r="T59" i="4"/>
  <c r="V59" i="4"/>
  <c r="S59" i="4"/>
  <c r="O59" i="4"/>
  <c r="Q59" i="4"/>
  <c r="U59" i="4"/>
  <c r="P59" i="4"/>
  <c r="R59" i="4"/>
  <c r="N59" i="4" a="1"/>
  <c r="N59" i="4" s="1"/>
  <c r="M59" i="4" a="1"/>
  <c r="M59" i="4" s="1"/>
  <c r="X96" i="4"/>
  <c r="W96" i="4"/>
  <c r="U96" i="4"/>
  <c r="T96" i="4"/>
  <c r="V96" i="4"/>
  <c r="S96" i="4"/>
  <c r="O96" i="4"/>
  <c r="Q96" i="4"/>
  <c r="P96" i="4"/>
  <c r="R96" i="4"/>
  <c r="M96" i="4" a="1"/>
  <c r="M96" i="4" s="1"/>
  <c r="N96" i="4" a="1"/>
  <c r="N96" i="4" s="1"/>
  <c r="M14" i="4" a="1"/>
  <c r="M14" i="4" s="1"/>
  <c r="T14" i="4" s="1"/>
  <c r="N14" i="4" a="1"/>
  <c r="N14" i="4" s="1"/>
  <c r="W79" i="4"/>
  <c r="X79" i="4"/>
  <c r="T79" i="4"/>
  <c r="V79" i="4"/>
  <c r="S79" i="4"/>
  <c r="U79" i="4"/>
  <c r="P79" i="4"/>
  <c r="R79" i="4"/>
  <c r="M79" i="4" a="1"/>
  <c r="M79" i="4" s="1"/>
  <c r="N79" i="4" a="1"/>
  <c r="N79" i="4" s="1"/>
  <c r="O79" i="4"/>
  <c r="Q79" i="4"/>
  <c r="T200" i="4"/>
  <c r="V200" i="4"/>
  <c r="X200" i="4"/>
  <c r="S200" i="4"/>
  <c r="U200" i="4"/>
  <c r="W200" i="4"/>
  <c r="P200" i="4"/>
  <c r="R200" i="4"/>
  <c r="N200" i="4" a="1"/>
  <c r="N200" i="4" s="1"/>
  <c r="O200" i="4"/>
  <c r="Q200" i="4"/>
  <c r="M200" i="4" a="1"/>
  <c r="M200" i="4" s="1"/>
  <c r="X114" i="4"/>
  <c r="W114" i="4"/>
  <c r="T114" i="4"/>
  <c r="V114" i="4"/>
  <c r="S114" i="4"/>
  <c r="U114" i="4"/>
  <c r="R114" i="4"/>
  <c r="N114" i="4" a="1"/>
  <c r="N114" i="4" s="1"/>
  <c r="O114" i="4"/>
  <c r="Q114" i="4"/>
  <c r="P114" i="4"/>
  <c r="M114" i="4" a="1"/>
  <c r="M114" i="4" s="1"/>
  <c r="X19" i="4"/>
  <c r="W19" i="4"/>
  <c r="V19" i="4"/>
  <c r="T19" i="4"/>
  <c r="S19" i="4"/>
  <c r="U19" i="4"/>
  <c r="R19" i="4"/>
  <c r="M19" i="4" a="1"/>
  <c r="M19" i="4" s="1"/>
  <c r="P19" i="4"/>
  <c r="N19" i="4" a="1"/>
  <c r="N19" i="4" s="1"/>
  <c r="O19" i="4"/>
  <c r="Q19" i="4"/>
  <c r="W104" i="4"/>
  <c r="T104" i="4"/>
  <c r="V104" i="4"/>
  <c r="S104" i="4"/>
  <c r="U104" i="4"/>
  <c r="X104" i="4"/>
  <c r="P104" i="4"/>
  <c r="R104" i="4"/>
  <c r="M104" i="4" a="1"/>
  <c r="M104" i="4" s="1"/>
  <c r="N104" i="4" a="1"/>
  <c r="N104" i="4" s="1"/>
  <c r="O104" i="4"/>
  <c r="Q104" i="4"/>
  <c r="W105" i="4"/>
  <c r="T105" i="4"/>
  <c r="V105" i="4"/>
  <c r="S105" i="4"/>
  <c r="U105" i="4"/>
  <c r="X105" i="4"/>
  <c r="P105" i="4"/>
  <c r="R105" i="4"/>
  <c r="N105" i="4" a="1"/>
  <c r="N105" i="4" s="1"/>
  <c r="M105" i="4" a="1"/>
  <c r="M105" i="4" s="1"/>
  <c r="Q105" i="4"/>
  <c r="O105" i="4"/>
  <c r="W58" i="4"/>
  <c r="T58" i="4"/>
  <c r="V58" i="4"/>
  <c r="X58" i="4"/>
  <c r="S58" i="4"/>
  <c r="U58" i="4"/>
  <c r="Q58" i="4"/>
  <c r="P58" i="4"/>
  <c r="R58" i="4"/>
  <c r="N58" i="4" a="1"/>
  <c r="N58" i="4" s="1"/>
  <c r="O58" i="4"/>
  <c r="M58" i="4" a="1"/>
  <c r="M58" i="4" s="1"/>
  <c r="X71" i="4"/>
  <c r="W71" i="4"/>
  <c r="T71" i="4"/>
  <c r="V71" i="4"/>
  <c r="O71" i="4"/>
  <c r="Q71" i="4"/>
  <c r="P71" i="4"/>
  <c r="U71" i="4"/>
  <c r="R71" i="4"/>
  <c r="N71" i="4" a="1"/>
  <c r="N71" i="4" s="1"/>
  <c r="S71" i="4"/>
  <c r="M71" i="4" a="1"/>
  <c r="M71" i="4" s="1"/>
  <c r="X108" i="4"/>
  <c r="W108" i="4"/>
  <c r="U108" i="4"/>
  <c r="T108" i="4"/>
  <c r="V108" i="4"/>
  <c r="S108" i="4"/>
  <c r="O108" i="4"/>
  <c r="Q108" i="4"/>
  <c r="P108" i="4"/>
  <c r="R108" i="4"/>
  <c r="N108" i="4" a="1"/>
  <c r="N108" i="4" s="1"/>
  <c r="M108" i="4" a="1"/>
  <c r="M108" i="4" s="1"/>
  <c r="X126" i="4"/>
  <c r="T126" i="4"/>
  <c r="V126" i="4"/>
  <c r="S126" i="4"/>
  <c r="U126" i="4"/>
  <c r="W126" i="4"/>
  <c r="R126" i="4"/>
  <c r="N126" i="4" a="1"/>
  <c r="N126" i="4" s="1"/>
  <c r="O126" i="4"/>
  <c r="Q126" i="4"/>
  <c r="P126" i="4"/>
  <c r="M126" i="4" a="1"/>
  <c r="M126" i="4" s="1"/>
  <c r="W55" i="4"/>
  <c r="T55" i="4"/>
  <c r="V55" i="4"/>
  <c r="X55" i="4"/>
  <c r="S55" i="4"/>
  <c r="U55" i="4"/>
  <c r="P55" i="4"/>
  <c r="R55" i="4"/>
  <c r="M55" i="4" a="1"/>
  <c r="M55" i="4" s="1"/>
  <c r="N55" i="4" a="1"/>
  <c r="N55" i="4" s="1"/>
  <c r="O55" i="4"/>
  <c r="Q55" i="4"/>
  <c r="W116" i="4"/>
  <c r="X116" i="4"/>
  <c r="T116" i="4"/>
  <c r="V116" i="4"/>
  <c r="S116" i="4"/>
  <c r="U116" i="4"/>
  <c r="P116" i="4"/>
  <c r="R116" i="4"/>
  <c r="N116" i="4" a="1"/>
  <c r="N116" i="4" s="1"/>
  <c r="O116" i="4"/>
  <c r="Q116" i="4"/>
  <c r="M116" i="4" a="1"/>
  <c r="M116" i="4" s="1"/>
  <c r="W117" i="4"/>
  <c r="X117" i="4"/>
  <c r="T117" i="4"/>
  <c r="V117" i="4"/>
  <c r="S117" i="4"/>
  <c r="U117" i="4"/>
  <c r="P117" i="4"/>
  <c r="R117" i="4"/>
  <c r="N117" i="4" a="1"/>
  <c r="N117" i="4" s="1"/>
  <c r="M117" i="4" a="1"/>
  <c r="M117" i="4" s="1"/>
  <c r="Q117" i="4"/>
  <c r="O117" i="4"/>
  <c r="W70" i="4"/>
  <c r="X70" i="4"/>
  <c r="T70" i="4"/>
  <c r="V70" i="4"/>
  <c r="S70" i="4"/>
  <c r="U70" i="4"/>
  <c r="Q70" i="4"/>
  <c r="P70" i="4"/>
  <c r="R70" i="4"/>
  <c r="N70" i="4" a="1"/>
  <c r="N70" i="4" s="1"/>
  <c r="O70" i="4"/>
  <c r="M70" i="4" a="1"/>
  <c r="M70" i="4" s="1"/>
  <c r="X83" i="4"/>
  <c r="W83" i="4"/>
  <c r="T83" i="4"/>
  <c r="V83" i="4"/>
  <c r="O83" i="4"/>
  <c r="S83" i="4"/>
  <c r="Q83" i="4"/>
  <c r="P83" i="4"/>
  <c r="R83" i="4"/>
  <c r="U83" i="4"/>
  <c r="N83" i="4" a="1"/>
  <c r="N83" i="4" s="1"/>
  <c r="M83" i="4" a="1"/>
  <c r="M83" i="4" s="1"/>
  <c r="X120" i="4"/>
  <c r="W120" i="4"/>
  <c r="U120" i="4"/>
  <c r="T120" i="4"/>
  <c r="V120" i="4"/>
  <c r="S120" i="4"/>
  <c r="O120" i="4"/>
  <c r="Q120" i="4"/>
  <c r="P120" i="4"/>
  <c r="R120" i="4"/>
  <c r="N120" i="4" a="1"/>
  <c r="N120" i="4" s="1"/>
  <c r="M120" i="4" a="1"/>
  <c r="M120" i="4" s="1"/>
  <c r="X66" i="4"/>
  <c r="T66" i="4"/>
  <c r="V66" i="4"/>
  <c r="S66" i="4"/>
  <c r="U66" i="4"/>
  <c r="W66" i="4"/>
  <c r="R66" i="4"/>
  <c r="N66" i="4" a="1"/>
  <c r="N66" i="4" s="1"/>
  <c r="O66" i="4"/>
  <c r="Q66" i="4"/>
  <c r="M66" i="4" a="1"/>
  <c r="M66" i="4" s="1"/>
  <c r="P66" i="4"/>
  <c r="W154" i="4"/>
  <c r="X154" i="4"/>
  <c r="T154" i="4"/>
  <c r="V154" i="4"/>
  <c r="S154" i="4"/>
  <c r="U154" i="4"/>
  <c r="Q154" i="4"/>
  <c r="P154" i="4"/>
  <c r="R154" i="4"/>
  <c r="N154" i="4" a="1"/>
  <c r="N154" i="4" s="1"/>
  <c r="M154" i="4" a="1"/>
  <c r="M154" i="4" s="1"/>
  <c r="O154" i="4"/>
  <c r="X181" i="4"/>
  <c r="U181" i="4"/>
  <c r="W181" i="4"/>
  <c r="T181" i="4"/>
  <c r="V181" i="4"/>
  <c r="O181" i="4"/>
  <c r="Q181" i="4"/>
  <c r="P181" i="4"/>
  <c r="R181" i="4"/>
  <c r="S181" i="4"/>
  <c r="N181" i="4" a="1"/>
  <c r="N181" i="4" s="1"/>
  <c r="M181" i="4" a="1"/>
  <c r="M181" i="4" s="1"/>
  <c r="X138" i="4"/>
  <c r="T138" i="4"/>
  <c r="V138" i="4"/>
  <c r="W138" i="4"/>
  <c r="S138" i="4"/>
  <c r="U138" i="4"/>
  <c r="R138" i="4"/>
  <c r="N138" i="4" a="1"/>
  <c r="N138" i="4" s="1"/>
  <c r="O138" i="4"/>
  <c r="Q138" i="4"/>
  <c r="P138" i="4"/>
  <c r="M138" i="4" a="1"/>
  <c r="M138" i="4" s="1"/>
  <c r="W91" i="4"/>
  <c r="T91" i="4"/>
  <c r="V91" i="4"/>
  <c r="X91" i="4"/>
  <c r="S91" i="4"/>
  <c r="U91" i="4"/>
  <c r="P91" i="4"/>
  <c r="R91" i="4"/>
  <c r="M91" i="4" a="1"/>
  <c r="M91" i="4" s="1"/>
  <c r="N91" i="4" a="1"/>
  <c r="N91" i="4" s="1"/>
  <c r="O91" i="4"/>
  <c r="Q91" i="4"/>
  <c r="W127" i="4"/>
  <c r="T127" i="4"/>
  <c r="V127" i="4"/>
  <c r="X127" i="4"/>
  <c r="S127" i="4"/>
  <c r="U127" i="4"/>
  <c r="P127" i="4"/>
  <c r="R127" i="4"/>
  <c r="N127" i="4" a="1"/>
  <c r="N127" i="4" s="1"/>
  <c r="O127" i="4"/>
  <c r="Q127" i="4"/>
  <c r="M127" i="4" a="1"/>
  <c r="M127" i="4" s="1"/>
  <c r="W199" i="4"/>
  <c r="T199" i="4"/>
  <c r="V199" i="4"/>
  <c r="X199" i="4"/>
  <c r="U199" i="4"/>
  <c r="P199" i="4"/>
  <c r="R199" i="4"/>
  <c r="N199" i="4" a="1"/>
  <c r="N199" i="4" s="1"/>
  <c r="S199" i="4"/>
  <c r="O199" i="4"/>
  <c r="Q199" i="4"/>
  <c r="M199" i="4" a="1"/>
  <c r="M199" i="4" s="1"/>
  <c r="T128" i="4"/>
  <c r="V128" i="4"/>
  <c r="X128" i="4"/>
  <c r="S128" i="4"/>
  <c r="U128" i="4"/>
  <c r="W128" i="4"/>
  <c r="P128" i="4"/>
  <c r="R128" i="4"/>
  <c r="N128" i="4" a="1"/>
  <c r="N128" i="4" s="1"/>
  <c r="O128" i="4"/>
  <c r="Q128" i="4"/>
  <c r="M128" i="4" a="1"/>
  <c r="M128" i="4" s="1"/>
  <c r="T129" i="4"/>
  <c r="V129" i="4"/>
  <c r="X129" i="4"/>
  <c r="S129" i="4"/>
  <c r="U129" i="4"/>
  <c r="W129" i="4"/>
  <c r="P129" i="4"/>
  <c r="R129" i="4"/>
  <c r="N129" i="4" a="1"/>
  <c r="N129" i="4" s="1"/>
  <c r="O129" i="4"/>
  <c r="M129" i="4" a="1"/>
  <c r="M129" i="4" s="1"/>
  <c r="Q129" i="4"/>
  <c r="W82" i="4"/>
  <c r="X82" i="4"/>
  <c r="T82" i="4"/>
  <c r="V82" i="4"/>
  <c r="S82" i="4"/>
  <c r="U82" i="4"/>
  <c r="Q82" i="4"/>
  <c r="P82" i="4"/>
  <c r="R82" i="4"/>
  <c r="N82" i="4" a="1"/>
  <c r="N82" i="4" s="1"/>
  <c r="M82" i="4" a="1"/>
  <c r="M82" i="4" s="1"/>
  <c r="O82" i="4"/>
  <c r="X122" i="4"/>
  <c r="W122" i="4"/>
  <c r="S122" i="4"/>
  <c r="U122" i="4"/>
  <c r="T122" i="4"/>
  <c r="O122" i="4"/>
  <c r="Q122" i="4"/>
  <c r="V122" i="4"/>
  <c r="P122" i="4"/>
  <c r="R122" i="4"/>
  <c r="M122" i="4" a="1"/>
  <c r="M122" i="4" s="1"/>
  <c r="N122" i="4" a="1"/>
  <c r="N122" i="4" s="1"/>
  <c r="X95" i="4"/>
  <c r="W95" i="4"/>
  <c r="T95" i="4"/>
  <c r="V95" i="4"/>
  <c r="O95" i="4"/>
  <c r="Q95" i="4"/>
  <c r="S95" i="4"/>
  <c r="P95" i="4"/>
  <c r="R95" i="4"/>
  <c r="U95" i="4"/>
  <c r="N95" i="4" a="1"/>
  <c r="N95" i="4" s="1"/>
  <c r="M95" i="4" a="1"/>
  <c r="M95" i="4" s="1"/>
  <c r="X132" i="4"/>
  <c r="W132" i="4"/>
  <c r="U132" i="4"/>
  <c r="T132" i="4"/>
  <c r="V132" i="4"/>
  <c r="S132" i="4"/>
  <c r="O132" i="4"/>
  <c r="Q132" i="4"/>
  <c r="P132" i="4"/>
  <c r="R132" i="4"/>
  <c r="N132" i="4" a="1"/>
  <c r="N132" i="4" s="1"/>
  <c r="M132" i="4" a="1"/>
  <c r="M132" i="4" s="1"/>
  <c r="D32" i="4"/>
  <c r="X133" i="4"/>
  <c r="W133" i="4"/>
  <c r="U133" i="4"/>
  <c r="T133" i="4"/>
  <c r="V133" i="4"/>
  <c r="O133" i="4"/>
  <c r="Q133" i="4"/>
  <c r="P133" i="4"/>
  <c r="R133" i="4"/>
  <c r="S133" i="4"/>
  <c r="M133" i="4" a="1"/>
  <c r="M133" i="4" s="1"/>
  <c r="N133" i="4" a="1"/>
  <c r="N133" i="4" s="1"/>
  <c r="X61" i="4"/>
  <c r="W61" i="4"/>
  <c r="U61" i="4"/>
  <c r="T61" i="4"/>
  <c r="V61" i="4"/>
  <c r="O61" i="4"/>
  <c r="Q61" i="4"/>
  <c r="P61" i="4"/>
  <c r="R61" i="4"/>
  <c r="M61" i="4" a="1"/>
  <c r="M61" i="4" s="1"/>
  <c r="S61" i="4"/>
  <c r="N61" i="4" a="1"/>
  <c r="N61" i="4" s="1"/>
  <c r="W163" i="4"/>
  <c r="T163" i="4"/>
  <c r="V163" i="4"/>
  <c r="X163" i="4"/>
  <c r="S163" i="4"/>
  <c r="U163" i="4"/>
  <c r="P163" i="4"/>
  <c r="R163" i="4"/>
  <c r="N163" i="4" a="1"/>
  <c r="N163" i="4" s="1"/>
  <c r="O163" i="4"/>
  <c r="Q163" i="4"/>
  <c r="M163" i="4" a="1"/>
  <c r="M163" i="4" s="1"/>
  <c r="T140" i="4"/>
  <c r="W140" i="4"/>
  <c r="V140" i="4"/>
  <c r="S140" i="4"/>
  <c r="U140" i="4"/>
  <c r="X140" i="4"/>
  <c r="P140" i="4"/>
  <c r="R140" i="4"/>
  <c r="N140" i="4" a="1"/>
  <c r="N140" i="4" s="1"/>
  <c r="O140" i="4"/>
  <c r="Q140" i="4"/>
  <c r="M140" i="4" a="1"/>
  <c r="M140" i="4" s="1"/>
  <c r="T141" i="4"/>
  <c r="W141" i="4"/>
  <c r="V141" i="4"/>
  <c r="S141" i="4"/>
  <c r="U141" i="4"/>
  <c r="X141" i="4"/>
  <c r="P141" i="4"/>
  <c r="R141" i="4"/>
  <c r="N141" i="4" a="1"/>
  <c r="N141" i="4" s="1"/>
  <c r="M141" i="4" a="1"/>
  <c r="M141" i="4" s="1"/>
  <c r="O141" i="4"/>
  <c r="Q141" i="4"/>
  <c r="W94" i="4"/>
  <c r="T94" i="4"/>
  <c r="V94" i="4"/>
  <c r="X94" i="4"/>
  <c r="S94" i="4"/>
  <c r="U94" i="4"/>
  <c r="Q94" i="4"/>
  <c r="P94" i="4"/>
  <c r="R94" i="4"/>
  <c r="N94" i="4" a="1"/>
  <c r="N94" i="4" s="1"/>
  <c r="O94" i="4"/>
  <c r="M94" i="4" a="1"/>
  <c r="M94" i="4" s="1"/>
  <c r="X107" i="4"/>
  <c r="W107" i="4"/>
  <c r="T107" i="4"/>
  <c r="V107" i="4"/>
  <c r="O107" i="4"/>
  <c r="Q107" i="4"/>
  <c r="P107" i="4"/>
  <c r="S107" i="4"/>
  <c r="R107" i="4"/>
  <c r="U107" i="4"/>
  <c r="N107" i="4" a="1"/>
  <c r="N107" i="4" s="1"/>
  <c r="M107" i="4" a="1"/>
  <c r="M107" i="4" s="1"/>
  <c r="X144" i="4"/>
  <c r="W144" i="4"/>
  <c r="U144" i="4"/>
  <c r="T144" i="4"/>
  <c r="V144" i="4"/>
  <c r="S144" i="4"/>
  <c r="O144" i="4"/>
  <c r="Q144" i="4"/>
  <c r="P144" i="4"/>
  <c r="R144" i="4"/>
  <c r="N144" i="4" a="1"/>
  <c r="N144" i="4" s="1"/>
  <c r="M144" i="4" a="1"/>
  <c r="M144" i="4" s="1"/>
  <c r="W139" i="4"/>
  <c r="T139" i="4"/>
  <c r="V139" i="4"/>
  <c r="S139" i="4"/>
  <c r="U139" i="4"/>
  <c r="X139" i="4"/>
  <c r="P139" i="4"/>
  <c r="R139" i="4"/>
  <c r="N139" i="4" a="1"/>
  <c r="N139" i="4" s="1"/>
  <c r="O139" i="4"/>
  <c r="Q139" i="4"/>
  <c r="M139" i="4" a="1"/>
  <c r="M139" i="4" s="1"/>
  <c r="W56" i="4"/>
  <c r="T56" i="4"/>
  <c r="V56" i="4"/>
  <c r="X56" i="4"/>
  <c r="S56" i="4"/>
  <c r="U56" i="4"/>
  <c r="P56" i="4"/>
  <c r="R56" i="4"/>
  <c r="M56" i="4" a="1"/>
  <c r="M56" i="4" s="1"/>
  <c r="N56" i="4" a="1"/>
  <c r="N56" i="4" s="1"/>
  <c r="O56" i="4"/>
  <c r="Q56" i="4"/>
  <c r="T13" i="4"/>
  <c r="V13" i="4"/>
  <c r="X13" i="4"/>
  <c r="Y13" i="4" s="1"/>
  <c r="S13" i="4"/>
  <c r="U13" i="4"/>
  <c r="W13" i="4"/>
  <c r="P13" i="4"/>
  <c r="R13" i="4"/>
  <c r="N13" i="4" a="1"/>
  <c r="N13" i="4" s="1"/>
  <c r="O13" i="4"/>
  <c r="Q13" i="4"/>
  <c r="M13" i="4" a="1"/>
  <c r="M13" i="4" s="1"/>
  <c r="X167" i="4"/>
  <c r="W167" i="4"/>
  <c r="T167" i="4"/>
  <c r="V167" i="4"/>
  <c r="O167" i="4"/>
  <c r="U167" i="4"/>
  <c r="Q167" i="4"/>
  <c r="S167" i="4"/>
  <c r="P167" i="4"/>
  <c r="R167" i="4"/>
  <c r="N167" i="4" a="1"/>
  <c r="N167" i="4" s="1"/>
  <c r="M167" i="4" a="1"/>
  <c r="M167" i="4" s="1"/>
  <c r="X150" i="4"/>
  <c r="W150" i="4"/>
  <c r="T150" i="4"/>
  <c r="V150" i="4"/>
  <c r="S150" i="4"/>
  <c r="U150" i="4"/>
  <c r="R150" i="4"/>
  <c r="N150" i="4" a="1"/>
  <c r="N150" i="4" s="1"/>
  <c r="O150" i="4"/>
  <c r="Q150" i="4"/>
  <c r="P150" i="4"/>
  <c r="M150" i="4" a="1"/>
  <c r="M150" i="4" s="1"/>
  <c r="D15" i="4"/>
  <c r="X162" i="4"/>
  <c r="T162" i="4"/>
  <c r="V162" i="4"/>
  <c r="S162" i="4"/>
  <c r="U162" i="4"/>
  <c r="W162" i="4"/>
  <c r="R162" i="4"/>
  <c r="N162" i="4" a="1"/>
  <c r="N162" i="4" s="1"/>
  <c r="O162" i="4"/>
  <c r="Q162" i="4"/>
  <c r="P162" i="4"/>
  <c r="M162" i="4" a="1"/>
  <c r="M162" i="4" s="1"/>
  <c r="W152" i="4"/>
  <c r="X152" i="4"/>
  <c r="T152" i="4"/>
  <c r="V152" i="4"/>
  <c r="S152" i="4"/>
  <c r="U152" i="4"/>
  <c r="P152" i="4"/>
  <c r="R152" i="4"/>
  <c r="N152" i="4" a="1"/>
  <c r="N152" i="4" s="1"/>
  <c r="O152" i="4"/>
  <c r="Q152" i="4"/>
  <c r="M152" i="4" a="1"/>
  <c r="M152" i="4" s="1"/>
  <c r="W153" i="4"/>
  <c r="X153" i="4"/>
  <c r="T153" i="4"/>
  <c r="V153" i="4"/>
  <c r="S153" i="4"/>
  <c r="U153" i="4"/>
  <c r="P153" i="4"/>
  <c r="R153" i="4"/>
  <c r="N153" i="4" a="1"/>
  <c r="N153" i="4" s="1"/>
  <c r="M153" i="4" a="1"/>
  <c r="M153" i="4" s="1"/>
  <c r="O153" i="4"/>
  <c r="Q153" i="4"/>
  <c r="X158" i="4"/>
  <c r="W158" i="4"/>
  <c r="S158" i="4"/>
  <c r="U158" i="4"/>
  <c r="T158" i="4"/>
  <c r="O158" i="4"/>
  <c r="Q158" i="4"/>
  <c r="P158" i="4"/>
  <c r="R158" i="4"/>
  <c r="V158" i="4"/>
  <c r="N158" i="4" a="1"/>
  <c r="N158" i="4" s="1"/>
  <c r="M158" i="4" a="1"/>
  <c r="M158" i="4" s="1"/>
  <c r="W106" i="4"/>
  <c r="X106" i="4"/>
  <c r="T106" i="4"/>
  <c r="V106" i="4"/>
  <c r="S106" i="4"/>
  <c r="U106" i="4"/>
  <c r="Q106" i="4"/>
  <c r="P106" i="4"/>
  <c r="R106" i="4"/>
  <c r="N106" i="4" a="1"/>
  <c r="N106" i="4" s="1"/>
  <c r="M106" i="4" a="1"/>
  <c r="M106" i="4" s="1"/>
  <c r="O106" i="4"/>
  <c r="X119" i="4"/>
  <c r="W119" i="4"/>
  <c r="T119" i="4"/>
  <c r="V119" i="4"/>
  <c r="O119" i="4"/>
  <c r="Q119" i="4"/>
  <c r="P119" i="4"/>
  <c r="R119" i="4"/>
  <c r="S119" i="4"/>
  <c r="N119" i="4" a="1"/>
  <c r="N119" i="4" s="1"/>
  <c r="U119" i="4"/>
  <c r="M119" i="4" a="1"/>
  <c r="M119" i="4" s="1"/>
  <c r="X50" i="4"/>
  <c r="W50" i="4"/>
  <c r="S50" i="4"/>
  <c r="V50" i="4"/>
  <c r="U50" i="4"/>
  <c r="T50" i="4"/>
  <c r="O50" i="4"/>
  <c r="Q50" i="4"/>
  <c r="P50" i="4"/>
  <c r="R50" i="4"/>
  <c r="M50" i="4" a="1"/>
  <c r="M50" i="4" s="1"/>
  <c r="N50" i="4" a="1"/>
  <c r="N50" i="4" s="1"/>
  <c r="X156" i="4"/>
  <c r="W156" i="4"/>
  <c r="U156" i="4"/>
  <c r="T156" i="4"/>
  <c r="V156" i="4"/>
  <c r="S156" i="4"/>
  <c r="O156" i="4"/>
  <c r="Q156" i="4"/>
  <c r="P156" i="4"/>
  <c r="R156" i="4"/>
  <c r="N156" i="4" a="1"/>
  <c r="N156" i="4" s="1"/>
  <c r="M156" i="4" a="1"/>
  <c r="M156" i="4" s="1"/>
  <c r="X169" i="4"/>
  <c r="W169" i="4"/>
  <c r="U169" i="4"/>
  <c r="T169" i="4"/>
  <c r="V169" i="4"/>
  <c r="O169" i="4"/>
  <c r="Q169" i="4"/>
  <c r="S169" i="4"/>
  <c r="P169" i="4"/>
  <c r="R169" i="4"/>
  <c r="N169" i="4" a="1"/>
  <c r="N169" i="4" s="1"/>
  <c r="M169" i="4" a="1"/>
  <c r="M169" i="4" s="1"/>
  <c r="W18" i="4"/>
  <c r="V18" i="4"/>
  <c r="X18" i="4"/>
  <c r="T18" i="4"/>
  <c r="S18" i="4"/>
  <c r="U18" i="4"/>
  <c r="M18" i="4" a="1"/>
  <c r="M18" i="4" s="1"/>
  <c r="P18" i="4"/>
  <c r="N18" i="4" a="1"/>
  <c r="N18" i="4" s="1"/>
  <c r="O18" i="4"/>
  <c r="Q18" i="4"/>
  <c r="R18" i="4"/>
  <c r="X174" i="4"/>
  <c r="T174" i="4"/>
  <c r="V174" i="4"/>
  <c r="W174" i="4"/>
  <c r="U174" i="4"/>
  <c r="R174" i="4"/>
  <c r="N174" i="4" a="1"/>
  <c r="N174" i="4" s="1"/>
  <c r="S174" i="4"/>
  <c r="O174" i="4"/>
  <c r="Q174" i="4"/>
  <c r="P174" i="4"/>
  <c r="M174" i="4" a="1"/>
  <c r="M174" i="4" s="1"/>
  <c r="T164" i="4"/>
  <c r="V164" i="4"/>
  <c r="X164" i="4"/>
  <c r="S164" i="4"/>
  <c r="U164" i="4"/>
  <c r="W164" i="4"/>
  <c r="P164" i="4"/>
  <c r="R164" i="4"/>
  <c r="N164" i="4" a="1"/>
  <c r="N164" i="4" s="1"/>
  <c r="O164" i="4"/>
  <c r="Q164" i="4"/>
  <c r="M164" i="4" a="1"/>
  <c r="M164" i="4" s="1"/>
  <c r="T165" i="4"/>
  <c r="V165" i="4"/>
  <c r="X165" i="4"/>
  <c r="S165" i="4"/>
  <c r="U165" i="4"/>
  <c r="W165" i="4"/>
  <c r="P165" i="4"/>
  <c r="R165" i="4"/>
  <c r="N165" i="4" a="1"/>
  <c r="N165" i="4" s="1"/>
  <c r="M165" i="4" a="1"/>
  <c r="M165" i="4" s="1"/>
  <c r="O165" i="4"/>
  <c r="Q165" i="4"/>
  <c r="W118" i="4"/>
  <c r="X118" i="4"/>
  <c r="T118" i="4"/>
  <c r="V118" i="4"/>
  <c r="S118" i="4"/>
  <c r="U118" i="4"/>
  <c r="Q118" i="4"/>
  <c r="P118" i="4"/>
  <c r="R118" i="4"/>
  <c r="N118" i="4" a="1"/>
  <c r="N118" i="4" s="1"/>
  <c r="M118" i="4" a="1"/>
  <c r="M118" i="4" s="1"/>
  <c r="O118" i="4"/>
  <c r="X131" i="4"/>
  <c r="W131" i="4"/>
  <c r="T131" i="4"/>
  <c r="V131" i="4"/>
  <c r="O131" i="4"/>
  <c r="Q131" i="4"/>
  <c r="P131" i="4"/>
  <c r="R131" i="4"/>
  <c r="N131" i="4" a="1"/>
  <c r="N131" i="4" s="1"/>
  <c r="S131" i="4"/>
  <c r="U131" i="4"/>
  <c r="M131" i="4" a="1"/>
  <c r="M131" i="4" s="1"/>
  <c r="X86" i="4"/>
  <c r="W86" i="4"/>
  <c r="S86" i="4"/>
  <c r="U86" i="4"/>
  <c r="T86" i="4"/>
  <c r="O86" i="4"/>
  <c r="V86" i="4"/>
  <c r="Q86" i="4"/>
  <c r="P86" i="4"/>
  <c r="R86" i="4"/>
  <c r="M86" i="4" a="1"/>
  <c r="M86" i="4" s="1"/>
  <c r="N86" i="4" a="1"/>
  <c r="N86" i="4" s="1"/>
  <c r="X168" i="4"/>
  <c r="W168" i="4"/>
  <c r="U168" i="4"/>
  <c r="T168" i="4"/>
  <c r="V168" i="4"/>
  <c r="S168" i="4"/>
  <c r="O168" i="4"/>
  <c r="Q168" i="4"/>
  <c r="P168" i="4"/>
  <c r="R168" i="4"/>
  <c r="N168" i="4" a="1"/>
  <c r="N168" i="4" s="1"/>
  <c r="M168" i="4" a="1"/>
  <c r="M168" i="4" s="1"/>
  <c r="X49" i="4"/>
  <c r="W49" i="4"/>
  <c r="V49" i="4"/>
  <c r="U49" i="4"/>
  <c r="R49" i="4"/>
  <c r="T49" i="4"/>
  <c r="O49" i="4"/>
  <c r="Q49" i="4"/>
  <c r="P49" i="4"/>
  <c r="M49" i="4" a="1"/>
  <c r="M49" i="4" s="1"/>
  <c r="S49" i="4"/>
  <c r="N49" i="4" a="1"/>
  <c r="N49" i="4" s="1"/>
  <c r="V42" i="4"/>
  <c r="W42" i="4"/>
  <c r="X42" i="4"/>
  <c r="T42" i="4"/>
  <c r="S42" i="4"/>
  <c r="U42" i="4"/>
  <c r="R42" i="4"/>
  <c r="N42" i="4" a="1"/>
  <c r="N42" i="4" s="1"/>
  <c r="O42" i="4"/>
  <c r="Q42" i="4"/>
  <c r="P42" i="4"/>
  <c r="M42" i="4" a="1"/>
  <c r="M42" i="4" s="1"/>
  <c r="X186" i="4"/>
  <c r="W186" i="4"/>
  <c r="T186" i="4"/>
  <c r="V186" i="4"/>
  <c r="U186" i="4"/>
  <c r="R186" i="4"/>
  <c r="S186" i="4"/>
  <c r="N186" i="4" a="1"/>
  <c r="N186" i="4" s="1"/>
  <c r="O186" i="4"/>
  <c r="Q186" i="4"/>
  <c r="P186" i="4"/>
  <c r="M186" i="4" a="1"/>
  <c r="M186" i="4" s="1"/>
  <c r="T176" i="4"/>
  <c r="W176" i="4"/>
  <c r="V176" i="4"/>
  <c r="S176" i="4"/>
  <c r="U176" i="4"/>
  <c r="X176" i="4"/>
  <c r="P176" i="4"/>
  <c r="R176" i="4"/>
  <c r="N176" i="4" a="1"/>
  <c r="N176" i="4" s="1"/>
  <c r="O176" i="4"/>
  <c r="Q176" i="4"/>
  <c r="M176" i="4" a="1"/>
  <c r="M176" i="4" s="1"/>
  <c r="T177" i="4"/>
  <c r="W177" i="4"/>
  <c r="V177" i="4"/>
  <c r="S177" i="4"/>
  <c r="U177" i="4"/>
  <c r="P177" i="4"/>
  <c r="X177" i="4"/>
  <c r="R177" i="4"/>
  <c r="N177" i="4" a="1"/>
  <c r="N177" i="4" s="1"/>
  <c r="M177" i="4" a="1"/>
  <c r="M177" i="4" s="1"/>
  <c r="O177" i="4"/>
  <c r="Q177" i="4"/>
  <c r="T130" i="4"/>
  <c r="V130" i="4"/>
  <c r="X130" i="4"/>
  <c r="S130" i="4"/>
  <c r="U130" i="4"/>
  <c r="Q130" i="4"/>
  <c r="P130" i="4"/>
  <c r="R130" i="4"/>
  <c r="W130" i="4"/>
  <c r="N130" i="4" a="1"/>
  <c r="N130" i="4" s="1"/>
  <c r="O130" i="4"/>
  <c r="M130" i="4" a="1"/>
  <c r="M130" i="4" s="1"/>
  <c r="X143" i="4"/>
  <c r="W143" i="4"/>
  <c r="T143" i="4"/>
  <c r="V143" i="4"/>
  <c r="O143" i="4"/>
  <c r="Q143" i="4"/>
  <c r="P143" i="4"/>
  <c r="R143" i="4"/>
  <c r="N143" i="4" a="1"/>
  <c r="N143" i="4" s="1"/>
  <c r="U143" i="4"/>
  <c r="M143" i="4" a="1"/>
  <c r="M143" i="4" s="1"/>
  <c r="S143" i="4"/>
  <c r="X180" i="4"/>
  <c r="W180" i="4"/>
  <c r="U180" i="4"/>
  <c r="T180" i="4"/>
  <c r="V180" i="4"/>
  <c r="S180" i="4"/>
  <c r="O180" i="4"/>
  <c r="Q180" i="4"/>
  <c r="P180" i="4"/>
  <c r="R180" i="4"/>
  <c r="N180" i="4" a="1"/>
  <c r="N180" i="4" s="1"/>
  <c r="M180" i="4" a="1"/>
  <c r="M180" i="4" s="1"/>
  <c r="X109" i="4"/>
  <c r="W109" i="4"/>
  <c r="U109" i="4"/>
  <c r="T109" i="4"/>
  <c r="V109" i="4"/>
  <c r="O109" i="4"/>
  <c r="Q109" i="4"/>
  <c r="S109" i="4"/>
  <c r="P109" i="4"/>
  <c r="R109" i="4"/>
  <c r="N109" i="4" a="1"/>
  <c r="N109" i="4" s="1"/>
  <c r="M109" i="4" a="1"/>
  <c r="M109" i="4" s="1"/>
  <c r="X145" i="4"/>
  <c r="U145" i="4"/>
  <c r="W145" i="4"/>
  <c r="T145" i="4"/>
  <c r="V145" i="4"/>
  <c r="S145" i="4"/>
  <c r="O145" i="4"/>
  <c r="Q145" i="4"/>
  <c r="P145" i="4"/>
  <c r="R145" i="4"/>
  <c r="M145" i="4" a="1"/>
  <c r="M145" i="4" s="1"/>
  <c r="N145" i="4" a="1"/>
  <c r="N145" i="4" s="1"/>
  <c r="X73" i="4"/>
  <c r="W73" i="4"/>
  <c r="U73" i="4"/>
  <c r="T73" i="4"/>
  <c r="V73" i="4"/>
  <c r="S73" i="4"/>
  <c r="O73" i="4"/>
  <c r="Q73" i="4"/>
  <c r="P73" i="4"/>
  <c r="R73" i="4"/>
  <c r="M73" i="4" a="1"/>
  <c r="M73" i="4" s="1"/>
  <c r="N73" i="4" a="1"/>
  <c r="N73" i="4" s="1"/>
  <c r="W57" i="4"/>
  <c r="T57" i="4"/>
  <c r="V57" i="4"/>
  <c r="X57" i="4"/>
  <c r="S57" i="4"/>
  <c r="U57" i="4"/>
  <c r="P57" i="4"/>
  <c r="R57" i="4"/>
  <c r="N57" i="4" a="1"/>
  <c r="N57" i="4" s="1"/>
  <c r="Q57" i="4"/>
  <c r="O57" i="4"/>
  <c r="M57" i="4" a="1"/>
  <c r="M57" i="4" s="1"/>
  <c r="X54" i="4"/>
  <c r="V54" i="4"/>
  <c r="T54" i="4"/>
  <c r="W54" i="4"/>
  <c r="S54" i="4"/>
  <c r="U54" i="4"/>
  <c r="R54" i="4"/>
  <c r="N54" i="4" a="1"/>
  <c r="N54" i="4" s="1"/>
  <c r="O54" i="4"/>
  <c r="Q54" i="4"/>
  <c r="M54" i="4" a="1"/>
  <c r="M54" i="4" s="1"/>
  <c r="P54" i="4"/>
  <c r="X198" i="4"/>
  <c r="T198" i="4"/>
  <c r="V198" i="4"/>
  <c r="U198" i="4"/>
  <c r="W198" i="4"/>
  <c r="R198" i="4"/>
  <c r="N198" i="4" a="1"/>
  <c r="N198" i="4" s="1"/>
  <c r="S198" i="4"/>
  <c r="O198" i="4"/>
  <c r="Q198" i="4"/>
  <c r="P198" i="4"/>
  <c r="M198" i="4" a="1"/>
  <c r="M198" i="4" s="1"/>
  <c r="W44" i="4"/>
  <c r="X44" i="4"/>
  <c r="T44" i="4"/>
  <c r="S44" i="4"/>
  <c r="V44" i="4"/>
  <c r="U44" i="4"/>
  <c r="P44" i="4"/>
  <c r="M44" i="4" a="1"/>
  <c r="M44" i="4" s="1"/>
  <c r="R44" i="4"/>
  <c r="N44" i="4" a="1"/>
  <c r="N44" i="4" s="1"/>
  <c r="O44" i="4"/>
  <c r="Q44" i="4"/>
  <c r="W188" i="4"/>
  <c r="X188" i="4"/>
  <c r="T188" i="4"/>
  <c r="V188" i="4"/>
  <c r="S188" i="4"/>
  <c r="U188" i="4"/>
  <c r="P188" i="4"/>
  <c r="R188" i="4"/>
  <c r="N188" i="4" a="1"/>
  <c r="N188" i="4" s="1"/>
  <c r="O188" i="4"/>
  <c r="Q188" i="4"/>
  <c r="M188" i="4" a="1"/>
  <c r="M188" i="4" s="1"/>
  <c r="W45" i="4"/>
  <c r="X45" i="4"/>
  <c r="T45" i="4"/>
  <c r="S45" i="4"/>
  <c r="V45" i="4"/>
  <c r="U45" i="4"/>
  <c r="P45" i="4"/>
  <c r="R45" i="4"/>
  <c r="N45" i="4" a="1"/>
  <c r="N45" i="4" s="1"/>
  <c r="Q45" i="4"/>
  <c r="M45" i="4" a="1"/>
  <c r="M45" i="4" s="1"/>
  <c r="O45" i="4"/>
  <c r="W189" i="4"/>
  <c r="X189" i="4"/>
  <c r="T189" i="4"/>
  <c r="V189" i="4"/>
  <c r="S189" i="4"/>
  <c r="U189" i="4"/>
  <c r="P189" i="4"/>
  <c r="R189" i="4"/>
  <c r="N189" i="4" a="1"/>
  <c r="N189" i="4" s="1"/>
  <c r="M189" i="4" a="1"/>
  <c r="M189" i="4" s="1"/>
  <c r="Q189" i="4"/>
  <c r="O189" i="4"/>
  <c r="D20" i="4"/>
  <c r="I19" i="4" a="1"/>
  <c r="I19" i="4" s="1"/>
  <c r="X142" i="4"/>
  <c r="T142" i="4"/>
  <c r="W142" i="4"/>
  <c r="V142" i="4"/>
  <c r="S142" i="4"/>
  <c r="U142" i="4"/>
  <c r="Q142" i="4"/>
  <c r="P142" i="4"/>
  <c r="R142" i="4"/>
  <c r="N142" i="4" a="1"/>
  <c r="N142" i="4" s="1"/>
  <c r="M142" i="4" a="1"/>
  <c r="M142" i="4" s="1"/>
  <c r="O142" i="4"/>
  <c r="X155" i="4"/>
  <c r="W155" i="4"/>
  <c r="T155" i="4"/>
  <c r="V155" i="4"/>
  <c r="U155" i="4"/>
  <c r="O155" i="4"/>
  <c r="S155" i="4"/>
  <c r="Q155" i="4"/>
  <c r="P155" i="4"/>
  <c r="R155" i="4"/>
  <c r="N155" i="4" a="1"/>
  <c r="N155" i="4" s="1"/>
  <c r="M155" i="4" a="1"/>
  <c r="M155" i="4" s="1"/>
  <c r="X48" i="4"/>
  <c r="W48" i="4"/>
  <c r="U48" i="4"/>
  <c r="T48" i="4"/>
  <c r="S48" i="4"/>
  <c r="V48" i="4"/>
  <c r="O48" i="4"/>
  <c r="Q48" i="4"/>
  <c r="P48" i="4"/>
  <c r="M48" i="4" a="1"/>
  <c r="M48" i="4" s="1"/>
  <c r="R48" i="4"/>
  <c r="N48" i="4" a="1"/>
  <c r="N48" i="4" s="1"/>
  <c r="X192" i="4"/>
  <c r="W192" i="4"/>
  <c r="U192" i="4"/>
  <c r="T192" i="4"/>
  <c r="V192" i="4"/>
  <c r="S192" i="4"/>
  <c r="O192" i="4"/>
  <c r="Q192" i="4"/>
  <c r="P192" i="4"/>
  <c r="R192" i="4"/>
  <c r="N192" i="4" a="1"/>
  <c r="N192" i="4" s="1"/>
  <c r="M192" i="4" a="1"/>
  <c r="M192" i="4" s="1"/>
  <c r="X121" i="4"/>
  <c r="U121" i="4"/>
  <c r="W121" i="4"/>
  <c r="T121" i="4"/>
  <c r="V121" i="4"/>
  <c r="O121" i="4"/>
  <c r="Q121" i="4"/>
  <c r="P121" i="4"/>
  <c r="R121" i="4"/>
  <c r="S121" i="4"/>
  <c r="M121" i="4" a="1"/>
  <c r="M121" i="4" s="1"/>
  <c r="N121" i="4" a="1"/>
  <c r="N121" i="4" s="1"/>
  <c r="W67" i="4"/>
  <c r="T67" i="4"/>
  <c r="V67" i="4"/>
  <c r="S67" i="4"/>
  <c r="U67" i="4"/>
  <c r="X67" i="4"/>
  <c r="P67" i="4"/>
  <c r="R67" i="4"/>
  <c r="M67" i="4" a="1"/>
  <c r="M67" i="4" s="1"/>
  <c r="N67" i="4" a="1"/>
  <c r="N67" i="4" s="1"/>
  <c r="O67" i="4"/>
  <c r="Q67" i="4"/>
  <c r="W151" i="4"/>
  <c r="X151" i="4"/>
  <c r="T151" i="4"/>
  <c r="V151" i="4"/>
  <c r="S151" i="4"/>
  <c r="U151" i="4"/>
  <c r="P151" i="4"/>
  <c r="R151" i="4"/>
  <c r="N151" i="4" a="1"/>
  <c r="N151" i="4" s="1"/>
  <c r="O151" i="4"/>
  <c r="Q151" i="4"/>
  <c r="M151" i="4" a="1"/>
  <c r="M151" i="4" s="1"/>
  <c r="L17" i="4" a="1"/>
  <c r="L17" i="4" s="1"/>
  <c r="L29" i="4" a="1"/>
  <c r="L29" i="4" s="1"/>
  <c r="L37" i="4" a="1"/>
  <c r="L37" i="4" s="1"/>
  <c r="AG9" i="2"/>
  <c r="AS9" i="2"/>
  <c r="AR22" i="2"/>
  <c r="AO38" i="2"/>
  <c r="AG22" i="2"/>
  <c r="AP38" i="2"/>
  <c r="AN9" i="2"/>
  <c r="AM22" i="2"/>
  <c r="AH9" i="2"/>
  <c r="AS22" i="2"/>
  <c r="AI9" i="2"/>
  <c r="AH22" i="2"/>
  <c r="AQ38" i="2"/>
  <c r="AJ22" i="2"/>
  <c r="AS38" i="2"/>
  <c r="AJ9" i="2"/>
  <c r="AI22" i="2"/>
  <c r="AR38" i="2"/>
  <c r="AK9" i="2"/>
  <c r="AG38" i="2"/>
  <c r="AL9" i="2"/>
  <c r="AK22" i="2"/>
  <c r="AH38" i="2"/>
  <c r="AM9" i="2"/>
  <c r="AL22" i="2"/>
  <c r="AI38" i="2"/>
  <c r="AJ38" i="2"/>
  <c r="AN38" i="2"/>
  <c r="AO9" i="2"/>
  <c r="AN22" i="2"/>
  <c r="AK38" i="2"/>
  <c r="AP9" i="2"/>
  <c r="AO22" i="2"/>
  <c r="AL38" i="2"/>
  <c r="AU5" i="2"/>
  <c r="AR9" i="2"/>
  <c r="AQ22" i="2"/>
  <c r="AQ9" i="2"/>
  <c r="AP22" i="2"/>
  <c r="AM38" i="2"/>
  <c r="DH7" i="2"/>
  <c r="DH6" i="2" s="1"/>
  <c r="CS7" i="2"/>
  <c r="CS6" i="2" s="1"/>
  <c r="CU7" i="2"/>
  <c r="CU6" i="2" s="1"/>
  <c r="EP7" i="2"/>
  <c r="EP6" i="2" s="1"/>
  <c r="AW7" i="2"/>
  <c r="AW6" i="2" s="1"/>
  <c r="DU7" i="2"/>
  <c r="DU6" i="2" s="1"/>
  <c r="DT7" i="2"/>
  <c r="DT6" i="2" s="1"/>
  <c r="DR7" i="2"/>
  <c r="DR6" i="2" s="1"/>
  <c r="DO7" i="2"/>
  <c r="DO6" i="2" s="1"/>
  <c r="BK7" i="2"/>
  <c r="BK6" i="2" s="1"/>
  <c r="DF7" i="2"/>
  <c r="DF6" i="2" s="1"/>
  <c r="CC7" i="2"/>
  <c r="CC6" i="2" s="1"/>
  <c r="DE7" i="2"/>
  <c r="DE6" i="2" s="1"/>
  <c r="CZ7" i="2"/>
  <c r="CZ6" i="2" s="1"/>
  <c r="DB7" i="2"/>
  <c r="DB6" i="2" s="1"/>
  <c r="EH7" i="2"/>
  <c r="EH6" i="2" s="1"/>
  <c r="AO7" i="2"/>
  <c r="AO6" i="2" s="1"/>
  <c r="AV7" i="2"/>
  <c r="AV6" i="2" s="1"/>
  <c r="ET7" i="2"/>
  <c r="ET6" i="2" s="1"/>
  <c r="BS7" i="2"/>
  <c r="BS6" i="2" s="1"/>
  <c r="AX7" i="2"/>
  <c r="AX6" i="2" s="1"/>
  <c r="DS7" i="2"/>
  <c r="DS6" i="2" s="1"/>
  <c r="DX7" i="2"/>
  <c r="DX6" i="2" s="1"/>
  <c r="EM7" i="2"/>
  <c r="EM6" i="2" s="1"/>
  <c r="EG7" i="2"/>
  <c r="EG6" i="2" s="1"/>
  <c r="EE7" i="2"/>
  <c r="EE6" i="2" s="1"/>
  <c r="CL7" i="2"/>
  <c r="CL6" i="2" s="1"/>
  <c r="EI7" i="2"/>
  <c r="EI6" i="2" s="1"/>
  <c r="DM7" i="2"/>
  <c r="DM6" i="2" s="1"/>
  <c r="BF7" i="2"/>
  <c r="BF6" i="2" s="1"/>
  <c r="CI7" i="2"/>
  <c r="CI6" i="2" s="1"/>
  <c r="CP7" i="2"/>
  <c r="CP6" i="2" s="1"/>
  <c r="DA7" i="2"/>
  <c r="DA6" i="2" s="1"/>
  <c r="CB7" i="2"/>
  <c r="CB6" i="2" s="1"/>
  <c r="AK7" i="2"/>
  <c r="AK6" i="2" s="1"/>
  <c r="DV7" i="2"/>
  <c r="DV6" i="2" s="1"/>
  <c r="CK7" i="2"/>
  <c r="CK6" i="2" s="1"/>
  <c r="DK7" i="2"/>
  <c r="DK6" i="2" s="1"/>
  <c r="EA7" i="2"/>
  <c r="EA6" i="2" s="1"/>
  <c r="EC7" i="2"/>
  <c r="EC6" i="2" s="1"/>
  <c r="CQ7" i="2"/>
  <c r="CQ6" i="2" s="1"/>
  <c r="CW7" i="2"/>
  <c r="CW6" i="2" s="1"/>
  <c r="DD7" i="2"/>
  <c r="DD6" i="2" s="1"/>
  <c r="EV7" i="2"/>
  <c r="EV6" i="2" s="1"/>
  <c r="DJ7" i="2"/>
  <c r="DJ6" i="2" s="1"/>
  <c r="EK7" i="2"/>
  <c r="EK6" i="2" s="1"/>
  <c r="DY7" i="2"/>
  <c r="DY6" i="2" s="1"/>
  <c r="EZ7" i="2"/>
  <c r="EZ6" i="2" s="1"/>
  <c r="EB7" i="2"/>
  <c r="EB6" i="2" s="1"/>
  <c r="DQ7" i="2"/>
  <c r="DQ6" i="2" s="1"/>
  <c r="ER7" i="2"/>
  <c r="ER6" i="2" s="1"/>
  <c r="EF7" i="2"/>
  <c r="EF6" i="2" s="1"/>
  <c r="DW7" i="2"/>
  <c r="DW6" i="2" s="1"/>
  <c r="AL7" i="2"/>
  <c r="AL6" i="2" s="1"/>
  <c r="ED7" i="2"/>
  <c r="ED6" i="2" s="1"/>
  <c r="AR7" i="2"/>
  <c r="AR6" i="2" s="1"/>
  <c r="AH7" i="2"/>
  <c r="AH6" i="2" s="1"/>
  <c r="EX7" i="2"/>
  <c r="EX6" i="2" s="1"/>
  <c r="EL7" i="2"/>
  <c r="EL6" i="2" s="1"/>
  <c r="CN7" i="2"/>
  <c r="CN6" i="2" s="1"/>
  <c r="EO7" i="2"/>
  <c r="EO6" i="2" s="1"/>
  <c r="ES7" i="2"/>
  <c r="ES6" i="2" s="1"/>
  <c r="CT7" i="2"/>
  <c r="CT6" i="2" s="1"/>
  <c r="EU7" i="2"/>
  <c r="EU6" i="2" s="1"/>
  <c r="CV7" i="2"/>
  <c r="CV6" i="2" s="1"/>
  <c r="EJ7" i="2"/>
  <c r="EJ6" i="2" s="1"/>
  <c r="BQ7" i="2"/>
  <c r="BQ6" i="2" s="1"/>
  <c r="BE7" i="2"/>
  <c r="BE6" i="2" s="1"/>
  <c r="EY7" i="2"/>
  <c r="EY6" i="2" s="1"/>
  <c r="FA7" i="2"/>
  <c r="FA6" i="2" s="1"/>
  <c r="DC7" i="2"/>
  <c r="DC6" i="2" s="1"/>
  <c r="EQ7" i="2"/>
  <c r="EQ6" i="2" s="1"/>
  <c r="BO7" i="2"/>
  <c r="BO6" i="2" s="1"/>
  <c r="BL7" i="2"/>
  <c r="BL6" i="2" s="1"/>
  <c r="CR7" i="2"/>
  <c r="CR6" i="2" s="1"/>
  <c r="DG7" i="2"/>
  <c r="DG6" i="2" s="1"/>
  <c r="DI7" i="2"/>
  <c r="DI6" i="2" s="1"/>
  <c r="EW7" i="2"/>
  <c r="EW6" i="2" s="1"/>
  <c r="CY7" i="2"/>
  <c r="CY6" i="2" s="1"/>
  <c r="CM7" i="2"/>
  <c r="CM6" i="2" s="1"/>
  <c r="DN7" i="2"/>
  <c r="DN6" i="2" s="1"/>
  <c r="CO7" i="2"/>
  <c r="CO6" i="2" s="1"/>
  <c r="DP7" i="2"/>
  <c r="DP6" i="2" s="1"/>
  <c r="BX7" i="2"/>
  <c r="BX6" i="2" s="1"/>
  <c r="BM7" i="2"/>
  <c r="BM6" i="2" s="1"/>
  <c r="BJ7" i="2"/>
  <c r="BJ6" i="2" s="1"/>
  <c r="BB7" i="2"/>
  <c r="BB6" i="2" s="1"/>
  <c r="AY7" i="2"/>
  <c r="AY6" i="2" s="1"/>
  <c r="AN7" i="2"/>
  <c r="AN6" i="2" s="1"/>
  <c r="AS7" i="2"/>
  <c r="AS6" i="2" s="1"/>
  <c r="BI7" i="2"/>
  <c r="BI6" i="2" s="1"/>
  <c r="BA7" i="2"/>
  <c r="BA6" i="2" s="1"/>
  <c r="CF7" i="2"/>
  <c r="CF6" i="2" s="1"/>
  <c r="AU7" i="2"/>
  <c r="AU6" i="2" s="1"/>
  <c r="BG7" i="2"/>
  <c r="BG6" i="2" s="1"/>
  <c r="BW7" i="2"/>
  <c r="BW6" i="2" s="1"/>
  <c r="BU7" i="2"/>
  <c r="BU6" i="2" s="1"/>
  <c r="BR7" i="2"/>
  <c r="BR6" i="2" s="1"/>
  <c r="BT7" i="2"/>
  <c r="BT6" i="2" s="1"/>
  <c r="BP7" i="2"/>
  <c r="BP6" i="2" s="1"/>
  <c r="BN7" i="2"/>
  <c r="BN6" i="2" s="1"/>
  <c r="CD7" i="2"/>
  <c r="CD6" i="2" s="1"/>
  <c r="BC7" i="2"/>
  <c r="BC6" i="2" s="1"/>
  <c r="BY7" i="2"/>
  <c r="BY6" i="2" s="1"/>
  <c r="AZ7" i="2"/>
  <c r="AZ6" i="2" s="1"/>
  <c r="CG7" i="2"/>
  <c r="CG6" i="2" s="1"/>
  <c r="CA7" i="2"/>
  <c r="CA6" i="2" s="1"/>
  <c r="AI7" i="2"/>
  <c r="AI6" i="2" s="1"/>
  <c r="CH7" i="2"/>
  <c r="CH6" i="2" s="1"/>
  <c r="AQ7" i="2"/>
  <c r="AQ6" i="2" s="1"/>
  <c r="CE7" i="2"/>
  <c r="CE6" i="2" s="1"/>
  <c r="AJ7" i="2"/>
  <c r="AJ6" i="2" s="1"/>
  <c r="AG7" i="2"/>
  <c r="AG6" i="2" s="1"/>
  <c r="AP7" i="2"/>
  <c r="AP6" i="2" s="1"/>
  <c r="BD7" i="2"/>
  <c r="BD6" i="2" s="1"/>
  <c r="BZ7" i="2"/>
  <c r="BZ6" i="2" s="1"/>
  <c r="AM7" i="2"/>
  <c r="AM6" i="2" s="1"/>
  <c r="S7" i="2"/>
  <c r="S6" i="2" s="1"/>
  <c r="Y7" i="2"/>
  <c r="Y6" i="2" s="1"/>
  <c r="V7" i="2"/>
  <c r="V6" i="2" s="1"/>
  <c r="AC7" i="2"/>
  <c r="AC6" i="2" s="1"/>
  <c r="Z7" i="2"/>
  <c r="Z6" i="2" s="1"/>
  <c r="U7" i="2"/>
  <c r="U6" i="2" s="1"/>
  <c r="AB7" i="2"/>
  <c r="AB6" i="2" s="1"/>
  <c r="W7" i="2"/>
  <c r="W6" i="2" s="1"/>
  <c r="AA7" i="2"/>
  <c r="AA6" i="2" s="1"/>
  <c r="AE7" i="2"/>
  <c r="AE6" i="2" s="1"/>
  <c r="T7" i="2"/>
  <c r="T6" i="2" s="1"/>
  <c r="X7" i="2"/>
  <c r="X6" i="2" s="1"/>
  <c r="AD7" i="2"/>
  <c r="AD6" i="2" s="1"/>
  <c r="H7" i="2"/>
  <c r="H6" i="2" s="1"/>
  <c r="P7" i="2"/>
  <c r="P6" i="2" s="1"/>
  <c r="E7" i="2"/>
  <c r="E6" i="2" s="1"/>
  <c r="I7" i="2"/>
  <c r="I6" i="2" s="1"/>
  <c r="N7" i="2"/>
  <c r="N6" i="2" s="1"/>
  <c r="M7" i="2"/>
  <c r="M6" i="2" s="1"/>
  <c r="K7" i="2"/>
  <c r="K6" i="2" s="1"/>
  <c r="O7" i="2"/>
  <c r="O6" i="2" s="1"/>
  <c r="G7" i="2"/>
  <c r="G6" i="2" s="1"/>
  <c r="Q7" i="2"/>
  <c r="Q6" i="2" s="1"/>
  <c r="F7" i="2"/>
  <c r="F6" i="2" s="1"/>
  <c r="J7" i="2"/>
  <c r="J6" i="2" s="1"/>
  <c r="L7" i="2"/>
  <c r="L6" i="2" s="1"/>
  <c r="K95" i="5" l="1" a="1"/>
  <c r="K95" i="5" s="1"/>
  <c r="L95" i="5" s="1"/>
  <c r="O95" i="5" s="1"/>
  <c r="K76" i="5" a="1"/>
  <c r="K76" i="5" s="1"/>
  <c r="L76" i="5" s="1"/>
  <c r="N76" i="5" s="1"/>
  <c r="M64" i="5"/>
  <c r="K92" i="5" a="1"/>
  <c r="K92" i="5" s="1"/>
  <c r="P92" i="5" s="1"/>
  <c r="K93" i="5" a="1"/>
  <c r="K93" i="5" s="1"/>
  <c r="P93" i="5" s="1"/>
  <c r="K99" i="5" a="1"/>
  <c r="K99" i="5" s="1"/>
  <c r="P99" i="5" s="1"/>
  <c r="K101" i="5" a="1"/>
  <c r="K101" i="5" s="1"/>
  <c r="L101" i="5" s="1"/>
  <c r="Q101" i="5" s="1"/>
  <c r="M65" i="5"/>
  <c r="L81" i="5"/>
  <c r="Q81" i="5" s="1"/>
  <c r="L91" i="5"/>
  <c r="N91" i="5" s="1"/>
  <c r="M81" i="5"/>
  <c r="L65" i="5"/>
  <c r="R65" i="5" s="1"/>
  <c r="M91" i="5"/>
  <c r="P100" i="5"/>
  <c r="M75" i="5"/>
  <c r="K55" i="5" a="1"/>
  <c r="K55" i="5" s="1"/>
  <c r="M55" i="5" s="1"/>
  <c r="K97" i="5" a="1"/>
  <c r="K97" i="5" s="1"/>
  <c r="M97" i="5" s="1"/>
  <c r="K87" i="5" a="1"/>
  <c r="K87" i="5" s="1"/>
  <c r="P87" i="5" s="1"/>
  <c r="L75" i="5"/>
  <c r="R75" i="5" s="1"/>
  <c r="L100" i="5"/>
  <c r="O100" i="5" s="1"/>
  <c r="K77" i="5" a="1"/>
  <c r="K77" i="5" s="1"/>
  <c r="P77" i="5" s="1"/>
  <c r="K79" i="5" a="1"/>
  <c r="K79" i="5" s="1"/>
  <c r="P79" i="5" s="1"/>
  <c r="K59" i="5" a="1"/>
  <c r="K59" i="5" s="1"/>
  <c r="P59" i="5" s="1"/>
  <c r="K73" i="5" a="1"/>
  <c r="K73" i="5" s="1"/>
  <c r="P73" i="5" s="1"/>
  <c r="K57" i="5" a="1"/>
  <c r="K57" i="5" s="1"/>
  <c r="P57" i="5" s="1"/>
  <c r="K80" i="5" a="1"/>
  <c r="K80" i="5" s="1"/>
  <c r="P80" i="5" s="1"/>
  <c r="Q63" i="5"/>
  <c r="R63" i="5"/>
  <c r="Q96" i="5"/>
  <c r="R96" i="5"/>
  <c r="Q64" i="5"/>
  <c r="R64" i="5"/>
  <c r="N64" i="5"/>
  <c r="O64" i="5"/>
  <c r="O63" i="5"/>
  <c r="N63" i="5"/>
  <c r="N96" i="5"/>
  <c r="O96" i="5"/>
  <c r="L89" i="5"/>
  <c r="M89" i="5"/>
  <c r="K68" i="5" a="1"/>
  <c r="K68" i="5" s="1"/>
  <c r="P68" i="5" s="1"/>
  <c r="K84" i="5" a="1"/>
  <c r="K84" i="5" s="1"/>
  <c r="P84" i="5" s="1"/>
  <c r="K61" i="5" a="1"/>
  <c r="K61" i="5" s="1"/>
  <c r="P61" i="5" s="1"/>
  <c r="K69" i="5" a="1"/>
  <c r="K69" i="5" s="1"/>
  <c r="P69" i="5" s="1"/>
  <c r="K85" i="5" a="1"/>
  <c r="K85" i="5" s="1"/>
  <c r="P85" i="5" s="1"/>
  <c r="K72" i="5" a="1"/>
  <c r="K72" i="5" s="1"/>
  <c r="P72" i="5" s="1"/>
  <c r="K88" i="5" a="1"/>
  <c r="K88" i="5" s="1"/>
  <c r="P88" i="5" s="1"/>
  <c r="K71" i="5" a="1"/>
  <c r="K71" i="5" s="1"/>
  <c r="P71" i="5" s="1"/>
  <c r="K83" i="5" a="1"/>
  <c r="K83" i="5" s="1"/>
  <c r="P83" i="5" s="1"/>
  <c r="K56" i="5" a="1"/>
  <c r="K56" i="5" s="1"/>
  <c r="P56" i="5" s="1"/>
  <c r="K67" i="5" a="1"/>
  <c r="K67" i="5" s="1"/>
  <c r="P67" i="5" s="1"/>
  <c r="K60" i="5" a="1"/>
  <c r="K60" i="5" s="1"/>
  <c r="P60" i="5" s="1"/>
  <c r="Q14" i="4"/>
  <c r="I15" i="4" a="1"/>
  <c r="I15" i="4" s="1"/>
  <c r="K15" i="4" s="1" a="1"/>
  <c r="K15" i="4" s="1"/>
  <c r="D16" i="4"/>
  <c r="M15" i="4" a="1"/>
  <c r="M15" i="4" s="1"/>
  <c r="N15" i="4" a="1"/>
  <c r="N15" i="4" s="1"/>
  <c r="D33" i="4"/>
  <c r="I32" i="4" a="1"/>
  <c r="I32" i="4" s="1"/>
  <c r="K32" i="4" s="1" a="1"/>
  <c r="K32" i="4" s="1"/>
  <c r="M32" i="4" a="1"/>
  <c r="M32" i="4" s="1"/>
  <c r="N32" i="4" a="1"/>
  <c r="N32" i="4" s="1"/>
  <c r="V14" i="4"/>
  <c r="D21" i="4"/>
  <c r="I20" i="4" a="1"/>
  <c r="I20" i="4" s="1"/>
  <c r="K20" i="4" s="1" a="1"/>
  <c r="K20" i="4" s="1"/>
  <c r="M20" i="4" a="1"/>
  <c r="M20" i="4" s="1"/>
  <c r="N20" i="4" a="1"/>
  <c r="N20" i="4" s="1"/>
  <c r="O14" i="4"/>
  <c r="BF9" i="2"/>
  <c r="BD38" i="2"/>
  <c r="AU9" i="2"/>
  <c r="BE38" i="2"/>
  <c r="AX38" i="2"/>
  <c r="AV9" i="2"/>
  <c r="AV22" i="2"/>
  <c r="BF38" i="2"/>
  <c r="AZ9" i="2"/>
  <c r="AX22" i="2"/>
  <c r="BE9" i="2"/>
  <c r="BB22" i="2"/>
  <c r="BF22" i="2"/>
  <c r="AW9" i="2"/>
  <c r="AW22" i="2"/>
  <c r="BA9" i="2"/>
  <c r="AZ22" i="2"/>
  <c r="AV38" i="2"/>
  <c r="BA22" i="2"/>
  <c r="AW38" i="2"/>
  <c r="BB9" i="2"/>
  <c r="BB38" i="2"/>
  <c r="BG9" i="2"/>
  <c r="BC22" i="2"/>
  <c r="AY38" i="2"/>
  <c r="BD22" i="2"/>
  <c r="AZ38" i="2"/>
  <c r="BE22" i="2"/>
  <c r="BA38" i="2"/>
  <c r="AY22" i="2"/>
  <c r="BC9" i="2"/>
  <c r="BC38" i="2"/>
  <c r="BG22" i="2"/>
  <c r="AU22" i="2"/>
  <c r="AY9" i="2"/>
  <c r="BI5" i="2"/>
  <c r="BG38" i="2"/>
  <c r="AX9" i="2"/>
  <c r="AU38" i="2"/>
  <c r="BD9" i="2"/>
  <c r="R14" i="4"/>
  <c r="P95" i="5" l="1"/>
  <c r="M95" i="5"/>
  <c r="M76" i="5"/>
  <c r="P76" i="5"/>
  <c r="L92" i="5"/>
  <c r="N92" i="5" s="1"/>
  <c r="M92" i="5"/>
  <c r="L99" i="5"/>
  <c r="R99" i="5" s="1"/>
  <c r="L93" i="5"/>
  <c r="Q93" i="5" s="1"/>
  <c r="M93" i="5"/>
  <c r="M99" i="5"/>
  <c r="O81" i="5"/>
  <c r="N101" i="5"/>
  <c r="R101" i="5"/>
  <c r="O101" i="5"/>
  <c r="M101" i="5"/>
  <c r="P101" i="5"/>
  <c r="O65" i="5"/>
  <c r="Q91" i="5"/>
  <c r="N81" i="5"/>
  <c r="R81" i="5"/>
  <c r="N65" i="5"/>
  <c r="Q65" i="5"/>
  <c r="R92" i="5"/>
  <c r="N95" i="5"/>
  <c r="R95" i="5"/>
  <c r="Q95" i="5"/>
  <c r="O91" i="5"/>
  <c r="R91" i="5"/>
  <c r="O75" i="5"/>
  <c r="N75" i="5"/>
  <c r="L55" i="5"/>
  <c r="Q55" i="5" s="1"/>
  <c r="P55" i="5"/>
  <c r="Q92" i="5"/>
  <c r="O92" i="5"/>
  <c r="R100" i="5"/>
  <c r="Q100" i="5"/>
  <c r="L87" i="5"/>
  <c r="R87" i="5" s="1"/>
  <c r="Q75" i="5"/>
  <c r="N100" i="5"/>
  <c r="M87" i="5"/>
  <c r="R76" i="5"/>
  <c r="Q76" i="5"/>
  <c r="P97" i="5"/>
  <c r="L97" i="5"/>
  <c r="O76" i="5"/>
  <c r="Q99" i="5"/>
  <c r="M59" i="5"/>
  <c r="L59" i="5"/>
  <c r="R59" i="5" s="1"/>
  <c r="M77" i="5"/>
  <c r="L57" i="5"/>
  <c r="Q57" i="5" s="1"/>
  <c r="M73" i="5"/>
  <c r="L77" i="5"/>
  <c r="Q77" i="5" s="1"/>
  <c r="L73" i="5"/>
  <c r="Q73" i="5" s="1"/>
  <c r="M80" i="5"/>
  <c r="L80" i="5"/>
  <c r="R80" i="5" s="1"/>
  <c r="M79" i="5"/>
  <c r="L79" i="5"/>
  <c r="O79" i="5" s="1"/>
  <c r="M57" i="5"/>
  <c r="Q89" i="5"/>
  <c r="R89" i="5"/>
  <c r="M69" i="5"/>
  <c r="M60" i="5"/>
  <c r="M61" i="5"/>
  <c r="M72" i="5"/>
  <c r="L68" i="5"/>
  <c r="M68" i="5"/>
  <c r="L83" i="5"/>
  <c r="M83" i="5"/>
  <c r="L71" i="5"/>
  <c r="M71" i="5"/>
  <c r="N89" i="5"/>
  <c r="O89" i="5"/>
  <c r="L84" i="5"/>
  <c r="M84" i="5"/>
  <c r="L67" i="5"/>
  <c r="M67" i="5"/>
  <c r="L88" i="5"/>
  <c r="M88" i="5"/>
  <c r="L85" i="5"/>
  <c r="M85" i="5"/>
  <c r="L56" i="5"/>
  <c r="M56" i="5"/>
  <c r="L69" i="5"/>
  <c r="L61" i="5"/>
  <c r="L60" i="5"/>
  <c r="L72" i="5"/>
  <c r="Q32" i="4"/>
  <c r="T32" i="4"/>
  <c r="V32" i="4"/>
  <c r="O32" i="4"/>
  <c r="V20" i="4"/>
  <c r="T20" i="4"/>
  <c r="O20" i="4"/>
  <c r="Q20" i="4"/>
  <c r="I33" i="4" a="1"/>
  <c r="I33" i="4" s="1"/>
  <c r="K33" i="4" s="1" a="1"/>
  <c r="K33" i="4" s="1"/>
  <c r="N33" i="4" a="1"/>
  <c r="N33" i="4" s="1"/>
  <c r="M33" i="4" a="1"/>
  <c r="M33" i="4" s="1"/>
  <c r="D34" i="4"/>
  <c r="V15" i="4"/>
  <c r="T15" i="4"/>
  <c r="O15" i="4"/>
  <c r="Q15" i="4"/>
  <c r="D22" i="4"/>
  <c r="I21" i="4" a="1"/>
  <c r="I21" i="4" s="1"/>
  <c r="K21" i="4" s="1" a="1"/>
  <c r="K21" i="4" s="1"/>
  <c r="M21" i="4" a="1"/>
  <c r="M21" i="4" s="1"/>
  <c r="N21" i="4" a="1"/>
  <c r="N21" i="4" s="1"/>
  <c r="I16" i="4" a="1"/>
  <c r="I16" i="4" s="1"/>
  <c r="K16" i="4" s="1" a="1"/>
  <c r="K16" i="4" s="1"/>
  <c r="N16" i="4" a="1"/>
  <c r="N16" i="4" s="1"/>
  <c r="D17" i="4"/>
  <c r="I17" i="4" s="1" a="1"/>
  <c r="I17" i="4" s="1"/>
  <c r="K17" i="4" s="1" a="1"/>
  <c r="K17" i="4" s="1"/>
  <c r="M16" i="4" a="1"/>
  <c r="M16" i="4" s="1"/>
  <c r="BP22" i="2"/>
  <c r="BT22" i="2"/>
  <c r="BP9" i="2"/>
  <c r="BO38" i="2"/>
  <c r="BT9" i="2"/>
  <c r="BL38" i="2"/>
  <c r="BP38" i="2"/>
  <c r="BL22" i="2"/>
  <c r="BJ38" i="2"/>
  <c r="BI9" i="2"/>
  <c r="BM9" i="2"/>
  <c r="BT38" i="2"/>
  <c r="BU9" i="2"/>
  <c r="BI22" i="2"/>
  <c r="BM22" i="2"/>
  <c r="BS9" i="2"/>
  <c r="BS22" i="2"/>
  <c r="BW5" i="2"/>
  <c r="BU22" i="2"/>
  <c r="BI38" i="2"/>
  <c r="BL9" i="2"/>
  <c r="BJ9" i="2"/>
  <c r="BQ38" i="2"/>
  <c r="BN22" i="2"/>
  <c r="BN38" i="2"/>
  <c r="BK38" i="2"/>
  <c r="BR22" i="2"/>
  <c r="BS38" i="2"/>
  <c r="BQ9" i="2"/>
  <c r="BK22" i="2"/>
  <c r="BM38" i="2"/>
  <c r="BU38" i="2"/>
  <c r="BQ22" i="2"/>
  <c r="BO22" i="2"/>
  <c r="BK9" i="2"/>
  <c r="BN9" i="2"/>
  <c r="BR9" i="2"/>
  <c r="BJ22" i="2"/>
  <c r="BR38" i="2"/>
  <c r="BO9" i="2"/>
  <c r="R32" i="4"/>
  <c r="P15" i="4"/>
  <c r="R20" i="4"/>
  <c r="R15" i="4"/>
  <c r="P14" i="4"/>
  <c r="R93" i="5" l="1"/>
  <c r="O99" i="5"/>
  <c r="N99" i="5"/>
  <c r="O93" i="5"/>
  <c r="N93" i="5"/>
  <c r="N55" i="5"/>
  <c r="O55" i="5"/>
  <c r="O87" i="5"/>
  <c r="Q87" i="5"/>
  <c r="N87" i="5"/>
  <c r="R55" i="5"/>
  <c r="N97" i="5"/>
  <c r="Q97" i="5"/>
  <c r="O97" i="5"/>
  <c r="R97" i="5"/>
  <c r="O77" i="5"/>
  <c r="O57" i="5"/>
  <c r="N57" i="5"/>
  <c r="R57" i="5"/>
  <c r="Q59" i="5"/>
  <c r="O59" i="5"/>
  <c r="N59" i="5"/>
  <c r="N77" i="5"/>
  <c r="O73" i="5"/>
  <c r="N80" i="5"/>
  <c r="O80" i="5"/>
  <c r="Q80" i="5"/>
  <c r="N73" i="5"/>
  <c r="R73" i="5"/>
  <c r="Q79" i="5"/>
  <c r="R77" i="5"/>
  <c r="R79" i="5"/>
  <c r="N79" i="5"/>
  <c r="Q72" i="5"/>
  <c r="R72" i="5"/>
  <c r="Q84" i="5"/>
  <c r="R84" i="5"/>
  <c r="Q68" i="5"/>
  <c r="R68" i="5"/>
  <c r="Q60" i="5"/>
  <c r="R60" i="5"/>
  <c r="Q69" i="5"/>
  <c r="R69" i="5"/>
  <c r="Q61" i="5"/>
  <c r="R61" i="5"/>
  <c r="Q83" i="5"/>
  <c r="R83" i="5"/>
  <c r="Q71" i="5"/>
  <c r="R71" i="5"/>
  <c r="Q85" i="5"/>
  <c r="R85" i="5"/>
  <c r="Q88" i="5"/>
  <c r="R88" i="5"/>
  <c r="Q67" i="5"/>
  <c r="R67" i="5"/>
  <c r="Q56" i="5"/>
  <c r="R56" i="5"/>
  <c r="O56" i="5"/>
  <c r="N72" i="5"/>
  <c r="O72" i="5"/>
  <c r="N60" i="5"/>
  <c r="O60" i="5"/>
  <c r="N69" i="5"/>
  <c r="O69" i="5"/>
  <c r="N71" i="5"/>
  <c r="O71" i="5"/>
  <c r="N67" i="5"/>
  <c r="O67" i="5"/>
  <c r="N61" i="5"/>
  <c r="O61" i="5"/>
  <c r="N83" i="5"/>
  <c r="O83" i="5"/>
  <c r="N88" i="5"/>
  <c r="O88" i="5"/>
  <c r="N85" i="5"/>
  <c r="O85" i="5"/>
  <c r="O84" i="5"/>
  <c r="N84" i="5"/>
  <c r="O68" i="5"/>
  <c r="N68" i="5"/>
  <c r="N56" i="5"/>
  <c r="S14" i="4"/>
  <c r="S15" i="4"/>
  <c r="V33" i="4"/>
  <c r="T33" i="4"/>
  <c r="O33" i="4"/>
  <c r="Q33" i="4"/>
  <c r="I34" i="4" a="1"/>
  <c r="I34" i="4" s="1"/>
  <c r="K34" i="4" s="1" a="1"/>
  <c r="K34" i="4" s="1"/>
  <c r="D35" i="4"/>
  <c r="N34" i="4" a="1"/>
  <c r="N34" i="4" s="1"/>
  <c r="M34" i="4" a="1"/>
  <c r="M34" i="4" s="1"/>
  <c r="D23" i="4"/>
  <c r="I22" i="4" a="1"/>
  <c r="I22" i="4" s="1"/>
  <c r="K22" i="4" s="1" a="1"/>
  <c r="K22" i="4" s="1"/>
  <c r="M22" i="4" a="1"/>
  <c r="M22" i="4" s="1"/>
  <c r="N22" i="4" a="1"/>
  <c r="N22" i="4" s="1"/>
  <c r="V16" i="4"/>
  <c r="T16" i="4"/>
  <c r="O16" i="4"/>
  <c r="Q16" i="4"/>
  <c r="V21" i="4"/>
  <c r="T21" i="4"/>
  <c r="O21" i="4"/>
  <c r="Q21" i="4"/>
  <c r="CK5" i="2"/>
  <c r="CG9" i="2"/>
  <c r="CG22" i="2"/>
  <c r="BY22" i="2"/>
  <c r="CC38" i="2"/>
  <c r="CG38" i="2"/>
  <c r="CI22" i="2"/>
  <c r="BY9" i="2"/>
  <c r="CC22" i="2"/>
  <c r="BZ9" i="2"/>
  <c r="CH38" i="2"/>
  <c r="BZ22" i="2"/>
  <c r="CI38" i="2"/>
  <c r="CF22" i="2"/>
  <c r="BY38" i="2"/>
  <c r="CE9" i="2"/>
  <c r="CA22" i="2"/>
  <c r="CC9" i="2"/>
  <c r="CH9" i="2"/>
  <c r="CH22" i="2"/>
  <c r="CE22" i="2"/>
  <c r="CB38" i="2"/>
  <c r="BW9" i="2"/>
  <c r="CD38" i="2"/>
  <c r="BW38" i="2"/>
  <c r="CI9" i="2"/>
  <c r="CD9" i="2"/>
  <c r="CA38" i="2"/>
  <c r="CF9" i="2"/>
  <c r="BZ38" i="2"/>
  <c r="BX38" i="2"/>
  <c r="CF38" i="2"/>
  <c r="CA9" i="2"/>
  <c r="BW22" i="2"/>
  <c r="BX9" i="2"/>
  <c r="CE38" i="2"/>
  <c r="CB22" i="2"/>
  <c r="BX22" i="2"/>
  <c r="CB9" i="2"/>
  <c r="CD22" i="2"/>
  <c r="P16" i="4"/>
  <c r="R33" i="4"/>
  <c r="R16" i="4"/>
  <c r="R21" i="4"/>
  <c r="S16" i="4" l="1"/>
  <c r="V34" i="4"/>
  <c r="T34" i="4"/>
  <c r="Q34" i="4"/>
  <c r="O34" i="4"/>
  <c r="I35" i="4" a="1"/>
  <c r="I35" i="4" s="1"/>
  <c r="K35" i="4" s="1" a="1"/>
  <c r="K35" i="4" s="1"/>
  <c r="D36" i="4"/>
  <c r="N35" i="4" a="1"/>
  <c r="N35" i="4" s="1"/>
  <c r="M35" i="4" a="1"/>
  <c r="M35" i="4" s="1"/>
  <c r="D24" i="4"/>
  <c r="I23" i="4" a="1"/>
  <c r="I23" i="4" s="1"/>
  <c r="K23" i="4" s="1" a="1"/>
  <c r="K23" i="4" s="1"/>
  <c r="M23" i="4" a="1"/>
  <c r="M23" i="4" s="1"/>
  <c r="N23" i="4" a="1"/>
  <c r="N23" i="4" s="1"/>
  <c r="Q22" i="4"/>
  <c r="O22" i="4"/>
  <c r="T22" i="4"/>
  <c r="V22" i="4"/>
  <c r="CU9" i="2"/>
  <c r="CU22" i="2"/>
  <c r="CQ38" i="2"/>
  <c r="CR38" i="2"/>
  <c r="CP9" i="2"/>
  <c r="CY5" i="2"/>
  <c r="CV9" i="2"/>
  <c r="CV22" i="2"/>
  <c r="CK9" i="2"/>
  <c r="CW9" i="2"/>
  <c r="CK22" i="2"/>
  <c r="CW22" i="2"/>
  <c r="CS38" i="2"/>
  <c r="CP22" i="2"/>
  <c r="CL9" i="2"/>
  <c r="CL22" i="2"/>
  <c r="CT38" i="2"/>
  <c r="CM9" i="2"/>
  <c r="CM22" i="2"/>
  <c r="CU38" i="2"/>
  <c r="CN9" i="2"/>
  <c r="CN22" i="2"/>
  <c r="CV38" i="2"/>
  <c r="CK38" i="2"/>
  <c r="CL38" i="2"/>
  <c r="CO9" i="2"/>
  <c r="CO22" i="2"/>
  <c r="CW38" i="2"/>
  <c r="CQ9" i="2"/>
  <c r="CQ22" i="2"/>
  <c r="CM38" i="2"/>
  <c r="CR9" i="2"/>
  <c r="CR22" i="2"/>
  <c r="CN38" i="2"/>
  <c r="CT9" i="2"/>
  <c r="CT22" i="2"/>
  <c r="CP38" i="2"/>
  <c r="CS9" i="2"/>
  <c r="CS22" i="2"/>
  <c r="CO38" i="2"/>
  <c r="U15" i="4"/>
  <c r="U14" i="4"/>
  <c r="U16" i="4"/>
  <c r="W16" i="4" s="1"/>
  <c r="R34" i="4"/>
  <c r="R22" i="4"/>
  <c r="W15" i="4"/>
  <c r="W14" i="4"/>
  <c r="X14" i="4" l="1"/>
  <c r="X15" i="4"/>
  <c r="X16" i="4"/>
  <c r="D25" i="4"/>
  <c r="I24" i="4" a="1"/>
  <c r="I24" i="4" s="1"/>
  <c r="K24" i="4" s="1" a="1"/>
  <c r="K24" i="4" s="1"/>
  <c r="M24" i="4" a="1"/>
  <c r="M24" i="4" s="1"/>
  <c r="N24" i="4" a="1"/>
  <c r="N24" i="4" s="1"/>
  <c r="V35" i="4"/>
  <c r="T35" i="4"/>
  <c r="O35" i="4"/>
  <c r="Q35" i="4"/>
  <c r="D37" i="4"/>
  <c r="I37" i="4" s="1" a="1"/>
  <c r="I37" i="4" s="1"/>
  <c r="K37" i="4" s="1" a="1"/>
  <c r="K37" i="4" s="1"/>
  <c r="I36" i="4" a="1"/>
  <c r="I36" i="4" s="1"/>
  <c r="K36" i="4" s="1" a="1"/>
  <c r="K36" i="4" s="1"/>
  <c r="M36" i="4" a="1"/>
  <c r="M36" i="4" s="1"/>
  <c r="N36" i="4" a="1"/>
  <c r="N36" i="4" s="1"/>
  <c r="O23" i="4"/>
  <c r="Q23" i="4"/>
  <c r="T23" i="4"/>
  <c r="V23" i="4"/>
  <c r="DG9" i="2"/>
  <c r="DH22" i="2"/>
  <c r="DD38" i="2"/>
  <c r="DE38" i="2"/>
  <c r="CY38" i="2"/>
  <c r="DI22" i="2"/>
  <c r="DJ22" i="2"/>
  <c r="DF38" i="2"/>
  <c r="DH38" i="2"/>
  <c r="DK38" i="2"/>
  <c r="DA9" i="2"/>
  <c r="CY22" i="2"/>
  <c r="DK22" i="2"/>
  <c r="DG38" i="2"/>
  <c r="DB9" i="2"/>
  <c r="CZ22" i="2"/>
  <c r="DC9" i="2"/>
  <c r="DA22" i="2"/>
  <c r="DI38" i="2"/>
  <c r="DJ38" i="2"/>
  <c r="DE9" i="2"/>
  <c r="DC22" i="2"/>
  <c r="DD9" i="2"/>
  <c r="DB22" i="2"/>
  <c r="DF9" i="2"/>
  <c r="DD22" i="2"/>
  <c r="CZ38" i="2"/>
  <c r="DH9" i="2"/>
  <c r="DE22" i="2"/>
  <c r="DA38" i="2"/>
  <c r="DJ9" i="2"/>
  <c r="DG22" i="2"/>
  <c r="DC38" i="2"/>
  <c r="DI9" i="2"/>
  <c r="DF22" i="2"/>
  <c r="DB38" i="2"/>
  <c r="DK9" i="2"/>
  <c r="CZ9" i="2"/>
  <c r="CY9" i="2"/>
  <c r="DM5" i="2"/>
  <c r="P33" i="4"/>
  <c r="P32" i="4"/>
  <c r="P34" i="4"/>
  <c r="R23" i="4"/>
  <c r="R35" i="4"/>
  <c r="P35" i="4"/>
  <c r="F41" i="5" l="1" a="1"/>
  <c r="F41" i="5" s="1"/>
  <c r="F35" i="5" a="1"/>
  <c r="F35" i="5" s="1"/>
  <c r="AJ16" i="4" s="1"/>
  <c r="F36" i="5" a="1"/>
  <c r="F36" i="5" s="1"/>
  <c r="F37" i="5" a="1"/>
  <c r="F37" i="5" s="1"/>
  <c r="S35" i="4"/>
  <c r="S34" i="4"/>
  <c r="S32" i="4"/>
  <c r="S33" i="4"/>
  <c r="V24" i="4"/>
  <c r="T24" i="4"/>
  <c r="O24" i="4"/>
  <c r="Q24" i="4"/>
  <c r="D26" i="4"/>
  <c r="I25" i="4" a="1"/>
  <c r="I25" i="4" s="1"/>
  <c r="K25" i="4" s="1" a="1"/>
  <c r="K25" i="4" s="1"/>
  <c r="M25" i="4" a="1"/>
  <c r="M25" i="4" s="1"/>
  <c r="N25" i="4" a="1"/>
  <c r="N25" i="4" s="1"/>
  <c r="V36" i="4"/>
  <c r="T36" i="4"/>
  <c r="O36" i="4"/>
  <c r="Q36" i="4"/>
  <c r="Z16" i="4"/>
  <c r="Y19" i="4"/>
  <c r="AA15" i="4"/>
  <c r="Z17" i="4"/>
  <c r="AA16" i="4"/>
  <c r="Y14" i="4"/>
  <c r="AA14" i="4"/>
  <c r="AA17" i="4"/>
  <c r="Y15" i="4"/>
  <c r="Z14" i="4"/>
  <c r="Y16" i="4"/>
  <c r="Z15" i="4"/>
  <c r="Y17" i="4"/>
  <c r="DR22" i="2"/>
  <c r="DU22" i="2"/>
  <c r="DM22" i="2"/>
  <c r="DW9" i="2"/>
  <c r="DT9" i="2"/>
  <c r="DM38" i="2"/>
  <c r="DP38" i="2"/>
  <c r="DY22" i="2"/>
  <c r="DO22" i="2"/>
  <c r="DY38" i="2"/>
  <c r="DQ38" i="2"/>
  <c r="DT38" i="2"/>
  <c r="EA5" i="2"/>
  <c r="DV38" i="2"/>
  <c r="DX9" i="2"/>
  <c r="DO9" i="2"/>
  <c r="DS9" i="2"/>
  <c r="DO38" i="2"/>
  <c r="DN9" i="2"/>
  <c r="DU9" i="2"/>
  <c r="DS22" i="2"/>
  <c r="DV22" i="2"/>
  <c r="DU38" i="2"/>
  <c r="DX38" i="2"/>
  <c r="DN22" i="2"/>
  <c r="DR9" i="2"/>
  <c r="DP22" i="2"/>
  <c r="DN38" i="2"/>
  <c r="DP9" i="2"/>
  <c r="DW38" i="2"/>
  <c r="DM9" i="2"/>
  <c r="DW22" i="2"/>
  <c r="DV9" i="2"/>
  <c r="DY9" i="2"/>
  <c r="DQ9" i="2"/>
  <c r="DQ22" i="2"/>
  <c r="DT22" i="2"/>
  <c r="DX22" i="2"/>
  <c r="DS38" i="2"/>
  <c r="DR38" i="2"/>
  <c r="P36" i="4"/>
  <c r="R36" i="4"/>
  <c r="R24" i="4"/>
  <c r="AJ18" i="4" l="1"/>
  <c r="E37" i="5" a="1"/>
  <c r="E37" i="5" s="1"/>
  <c r="AI18" i="4" s="1"/>
  <c r="AJ17" i="4"/>
  <c r="E36" i="5" a="1"/>
  <c r="E36" i="5" s="1"/>
  <c r="AI17" i="4" s="1"/>
  <c r="E35" i="5" a="1"/>
  <c r="E35" i="5" s="1"/>
  <c r="AI16" i="4" s="1"/>
  <c r="F40" i="5"/>
  <c r="AJ22" i="4"/>
  <c r="AB17" i="4"/>
  <c r="S36" i="4"/>
  <c r="V25" i="4"/>
  <c r="T25" i="4"/>
  <c r="O25" i="4"/>
  <c r="Q25" i="4"/>
  <c r="D27" i="4"/>
  <c r="I26" i="4" a="1"/>
  <c r="I26" i="4" s="1"/>
  <c r="K26" i="4" s="1" a="1"/>
  <c r="K26" i="4" s="1"/>
  <c r="N26" i="4" a="1"/>
  <c r="N26" i="4" s="1"/>
  <c r="M26" i="4" a="1"/>
  <c r="M26" i="4" s="1"/>
  <c r="AC17" i="4"/>
  <c r="AD17" i="4"/>
  <c r="AB16" i="4"/>
  <c r="AB14" i="4"/>
  <c r="AC15" i="4"/>
  <c r="AD15" i="4"/>
  <c r="AD14" i="4"/>
  <c r="AC14" i="4"/>
  <c r="AD16" i="4"/>
  <c r="AC16" i="4"/>
  <c r="AB15" i="4"/>
  <c r="ED22" i="2"/>
  <c r="EB38" i="2"/>
  <c r="EF38" i="2"/>
  <c r="EJ9" i="2"/>
  <c r="EA9" i="2"/>
  <c r="EA22" i="2"/>
  <c r="EE9" i="2"/>
  <c r="EI22" i="2"/>
  <c r="EC9" i="2"/>
  <c r="EM38" i="2"/>
  <c r="EA38" i="2"/>
  <c r="EL9" i="2"/>
  <c r="EI9" i="2"/>
  <c r="EE22" i="2"/>
  <c r="EM9" i="2"/>
  <c r="EK38" i="2"/>
  <c r="ED9" i="2"/>
  <c r="EG22" i="2"/>
  <c r="EL38" i="2"/>
  <c r="EH22" i="2"/>
  <c r="EL22" i="2"/>
  <c r="ED38" i="2"/>
  <c r="EG9" i="2"/>
  <c r="EE38" i="2"/>
  <c r="EC38" i="2"/>
  <c r="EG38" i="2"/>
  <c r="EB9" i="2"/>
  <c r="EM22" i="2"/>
  <c r="EC22" i="2"/>
  <c r="EB22" i="2"/>
  <c r="EO5" i="2"/>
  <c r="EF9" i="2"/>
  <c r="EH38" i="2"/>
  <c r="EI38" i="2"/>
  <c r="EK9" i="2"/>
  <c r="EF22" i="2"/>
  <c r="EJ38" i="2"/>
  <c r="EK22" i="2"/>
  <c r="EH9" i="2"/>
  <c r="EJ22" i="2"/>
  <c r="U33" i="4"/>
  <c r="U32" i="4"/>
  <c r="U34" i="4"/>
  <c r="W34" i="4" s="1"/>
  <c r="U35" i="4"/>
  <c r="W35" i="4" s="1"/>
  <c r="U36" i="4"/>
  <c r="W36" i="4" s="1"/>
  <c r="R25" i="4"/>
  <c r="W33" i="4"/>
  <c r="W32" i="4"/>
  <c r="AJ21" i="4" l="1"/>
  <c r="E40" i="5"/>
  <c r="AI21" i="4" s="1"/>
  <c r="X32" i="4"/>
  <c r="X33" i="4"/>
  <c r="X36" i="4"/>
  <c r="X35" i="4"/>
  <c r="X34" i="4"/>
  <c r="D28" i="4"/>
  <c r="I27" i="4" a="1"/>
  <c r="I27" i="4" s="1"/>
  <c r="K27" i="4" s="1" a="1"/>
  <c r="K27" i="4" s="1"/>
  <c r="M27" i="4" a="1"/>
  <c r="M27" i="4" s="1"/>
  <c r="N27" i="4" a="1"/>
  <c r="N27" i="4" s="1"/>
  <c r="V26" i="4"/>
  <c r="T26" i="4"/>
  <c r="O26" i="4"/>
  <c r="Q26" i="4"/>
  <c r="EQ22" i="2"/>
  <c r="FA38" i="2"/>
  <c r="EX22" i="2"/>
  <c r="EX38" i="2"/>
  <c r="ES38" i="2"/>
  <c r="EW9" i="2"/>
  <c r="EU22" i="2"/>
  <c r="EW22" i="2"/>
  <c r="EZ9" i="2"/>
  <c r="ET38" i="2"/>
  <c r="FA22" i="2"/>
  <c r="EW38" i="2"/>
  <c r="EQ9" i="2"/>
  <c r="EZ22" i="2"/>
  <c r="EV22" i="2"/>
  <c r="EP22" i="2"/>
  <c r="ER22" i="2"/>
  <c r="EP38" i="2"/>
  <c r="ER9" i="2"/>
  <c r="EQ38" i="2"/>
  <c r="EO22" i="2"/>
  <c r="ES9" i="2"/>
  <c r="ES22" i="2"/>
  <c r="EO38" i="2"/>
  <c r="ET9" i="2"/>
  <c r="EY38" i="2"/>
  <c r="EY22" i="2"/>
  <c r="ER38" i="2"/>
  <c r="EV38" i="2"/>
  <c r="EU9" i="2"/>
  <c r="EV9" i="2"/>
  <c r="EU38" i="2"/>
  <c r="EO9" i="2"/>
  <c r="FA9" i="2"/>
  <c r="EZ38" i="2"/>
  <c r="EX9" i="2"/>
  <c r="EP9" i="2"/>
  <c r="ET22" i="2"/>
  <c r="EY9" i="2"/>
  <c r="R26" i="4"/>
  <c r="D29" i="4" l="1"/>
  <c r="I29" i="4" s="1" a="1"/>
  <c r="I29" i="4" s="1"/>
  <c r="K29" i="4" s="1" a="1"/>
  <c r="K29" i="4" s="1"/>
  <c r="I28" i="4" a="1"/>
  <c r="I28" i="4" s="1"/>
  <c r="K28" i="4" s="1" a="1"/>
  <c r="K28" i="4" s="1"/>
  <c r="N28" i="4" a="1"/>
  <c r="N28" i="4" s="1"/>
  <c r="M28" i="4" a="1"/>
  <c r="M28" i="4" s="1"/>
  <c r="V27" i="4"/>
  <c r="T27" i="4"/>
  <c r="O27" i="4"/>
  <c r="Q27" i="4"/>
  <c r="P25" i="4"/>
  <c r="P23" i="4"/>
  <c r="P22" i="4"/>
  <c r="P21" i="4"/>
  <c r="P20" i="4"/>
  <c r="P24" i="4"/>
  <c r="P26" i="4"/>
  <c r="P27" i="4"/>
  <c r="R27" i="4"/>
  <c r="S27" i="4" l="1"/>
  <c r="S26" i="4"/>
  <c r="S24" i="4"/>
  <c r="S20" i="4"/>
  <c r="S21" i="4"/>
  <c r="S22" i="4"/>
  <c r="S23" i="4"/>
  <c r="S25" i="4"/>
  <c r="V28" i="4"/>
  <c r="T28" i="4"/>
  <c r="O28" i="4"/>
  <c r="Q28" i="4"/>
  <c r="P28" i="4"/>
  <c r="R28" i="4"/>
  <c r="S28" i="4" l="1"/>
  <c r="U22" i="4"/>
  <c r="U20" i="4"/>
  <c r="U24" i="4"/>
  <c r="U25" i="4"/>
  <c r="U21" i="4"/>
  <c r="U26" i="4"/>
  <c r="U23" i="4"/>
  <c r="U27" i="4"/>
  <c r="W27" i="4" s="1"/>
  <c r="U28" i="4"/>
  <c r="W28" i="4" s="1"/>
  <c r="W22" i="4"/>
  <c r="W20" i="4"/>
  <c r="W25" i="4"/>
  <c r="W24" i="4"/>
  <c r="W21" i="4"/>
  <c r="W26" i="4"/>
  <c r="W23" i="4"/>
  <c r="X23" i="4" l="1"/>
  <c r="X26" i="4"/>
  <c r="X21" i="4"/>
  <c r="X24" i="4"/>
  <c r="X25" i="4"/>
  <c r="X20" i="4"/>
  <c r="X22" i="4"/>
  <c r="X28" i="4"/>
  <c r="X27" i="4"/>
  <c r="N41" i="5" l="1" a="1"/>
  <c r="N41" i="5" s="1"/>
  <c r="AQ35" i="4" s="1"/>
  <c r="N36" i="5" a="1"/>
  <c r="N36" i="5" s="1"/>
  <c r="M36" i="5" s="1" a="1"/>
  <c r="M36" i="5" s="1"/>
  <c r="N37" i="5" a="1"/>
  <c r="N37" i="5" s="1"/>
  <c r="M37" i="5" s="1" a="1"/>
  <c r="M37" i="5" s="1"/>
  <c r="N38" i="5" a="1"/>
  <c r="N38" i="5" s="1"/>
  <c r="M38" i="5" s="1" a="1"/>
  <c r="M38" i="5" s="1"/>
  <c r="N39" i="5" a="1"/>
  <c r="N39" i="5" s="1"/>
  <c r="M39" i="5" s="1" a="1"/>
  <c r="M39" i="5" s="1"/>
  <c r="J41" i="5" a="1"/>
  <c r="J41" i="5" s="1"/>
  <c r="N35" i="5" a="1"/>
  <c r="N35" i="5" s="1"/>
  <c r="M35" i="5" s="1" a="1"/>
  <c r="M35" i="5" s="1"/>
  <c r="J35" i="5" a="1"/>
  <c r="J35" i="5" s="1"/>
  <c r="J36" i="5" a="1"/>
  <c r="J36" i="5" s="1"/>
  <c r="I36" i="5" s="1" a="1"/>
  <c r="I36" i="5" s="1"/>
  <c r="J37" i="5" a="1"/>
  <c r="J37" i="5" s="1"/>
  <c r="I37" i="5" s="1" a="1"/>
  <c r="I37" i="5" s="1"/>
  <c r="J38" i="5" a="1"/>
  <c r="J38" i="5" s="1"/>
  <c r="I38" i="5" s="1" a="1"/>
  <c r="I38" i="5" s="1"/>
  <c r="J39" i="5" a="1"/>
  <c r="J39" i="5" s="1"/>
  <c r="I39" i="5" s="1" a="1"/>
  <c r="I39" i="5" s="1"/>
  <c r="AI19" i="4"/>
  <c r="AI20" i="4"/>
  <c r="AJ19" i="4"/>
  <c r="AJ20" i="4"/>
  <c r="Y20" i="4"/>
  <c r="Z37" i="4"/>
  <c r="AA25" i="4"/>
  <c r="Y36" i="4"/>
  <c r="Z26" i="4"/>
  <c r="Y32" i="4"/>
  <c r="Z23" i="4"/>
  <c r="AA32" i="4"/>
  <c r="Y37" i="4"/>
  <c r="Z32" i="4"/>
  <c r="Z20" i="4"/>
  <c r="Z36" i="4"/>
  <c r="Y23" i="4"/>
  <c r="AA28" i="4"/>
  <c r="Z22" i="4"/>
  <c r="AA29" i="4"/>
  <c r="Y26" i="4"/>
  <c r="Y28" i="4"/>
  <c r="Y29" i="4"/>
  <c r="Z21" i="4"/>
  <c r="Y27" i="4"/>
  <c r="Y21" i="4"/>
  <c r="Z24" i="4"/>
  <c r="Y22" i="4"/>
  <c r="AA27" i="4"/>
  <c r="Z28" i="4"/>
  <c r="AA26" i="4"/>
  <c r="AA34" i="4"/>
  <c r="AA35" i="4"/>
  <c r="AA24" i="4"/>
  <c r="AA36" i="4"/>
  <c r="Y35" i="4"/>
  <c r="Y31" i="4"/>
  <c r="AA22" i="4"/>
  <c r="Z25" i="4"/>
  <c r="Z29" i="4"/>
  <c r="Z33" i="4"/>
  <c r="AA21" i="4"/>
  <c r="AA37" i="4"/>
  <c r="Y34" i="4"/>
  <c r="Y24" i="4"/>
  <c r="Z27" i="4"/>
  <c r="Z35" i="4"/>
  <c r="AA33" i="4"/>
  <c r="Y33" i="4"/>
  <c r="Z34" i="4"/>
  <c r="Y25" i="4"/>
  <c r="AA23" i="4"/>
  <c r="AA20" i="4"/>
  <c r="E27" i="5" l="1"/>
  <c r="AJ35" i="4"/>
  <c r="E25" i="5"/>
  <c r="E26" i="5" s="1"/>
  <c r="AP33" i="4"/>
  <c r="AQ33" i="4"/>
  <c r="AQ32" i="4"/>
  <c r="AP32" i="4"/>
  <c r="AP31" i="4"/>
  <c r="AQ31" i="4"/>
  <c r="AP30" i="4"/>
  <c r="AQ30" i="4"/>
  <c r="AQ29" i="4"/>
  <c r="AP29" i="4"/>
  <c r="N40" i="5"/>
  <c r="I35" i="5" a="1"/>
  <c r="I35" i="5" s="1"/>
  <c r="AI29" i="4" s="1"/>
  <c r="AJ29" i="4"/>
  <c r="AB35" i="4"/>
  <c r="AI31" i="4"/>
  <c r="AJ31" i="4"/>
  <c r="AI30" i="4"/>
  <c r="AJ30" i="4"/>
  <c r="AI33" i="4"/>
  <c r="AJ33" i="4"/>
  <c r="AJ32" i="4"/>
  <c r="AI32" i="4"/>
  <c r="J40" i="5"/>
  <c r="AB34" i="4"/>
  <c r="AB28" i="4"/>
  <c r="AB29" i="4"/>
  <c r="AB36" i="4"/>
  <c r="AB25" i="4"/>
  <c r="AB24" i="4"/>
  <c r="AB32" i="4"/>
  <c r="AB27" i="4"/>
  <c r="AB20" i="4"/>
  <c r="AB21" i="4"/>
  <c r="AC23" i="4"/>
  <c r="AD23" i="4"/>
  <c r="AD32" i="4"/>
  <c r="AC32" i="4"/>
  <c r="AB23" i="4"/>
  <c r="AD33" i="4"/>
  <c r="AC33" i="4"/>
  <c r="AD24" i="4"/>
  <c r="AC24" i="4"/>
  <c r="AC35" i="4"/>
  <c r="AD35" i="4"/>
  <c r="AB26" i="4"/>
  <c r="AC34" i="4"/>
  <c r="AD34" i="4"/>
  <c r="AC29" i="4"/>
  <c r="AD29" i="4"/>
  <c r="AC37" i="4"/>
  <c r="AD37" i="4"/>
  <c r="AD26" i="4"/>
  <c r="AC26" i="4"/>
  <c r="AB22" i="4"/>
  <c r="AC25" i="4"/>
  <c r="AD25" i="4"/>
  <c r="AC36" i="4"/>
  <c r="AD36" i="4"/>
  <c r="AD21" i="4"/>
  <c r="AC21" i="4"/>
  <c r="AC28" i="4"/>
  <c r="AD28" i="4"/>
  <c r="AB37" i="4"/>
  <c r="AD22" i="4"/>
  <c r="AC22" i="4"/>
  <c r="AD20" i="4"/>
  <c r="AC20" i="4"/>
  <c r="AB33" i="4"/>
  <c r="AC27" i="4"/>
  <c r="AD27" i="4"/>
  <c r="M40" i="5" l="1"/>
  <c r="AP34" i="4" s="1"/>
  <c r="AQ34" i="4"/>
  <c r="I40" i="5"/>
  <c r="AI34" i="4" s="1"/>
  <c r="AJ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<sst xmlns="http://schemas.openxmlformats.org/spreadsheetml/2006/main" count="303" uniqueCount="115">
  <si>
    <t>General</t>
  </si>
  <si>
    <t>Starting Year:</t>
  </si>
  <si>
    <t>Set the starting year(yyyy) once at the beginning and do not change it again.</t>
  </si>
  <si>
    <r>
      <t xml:space="preserve">Define starting year in Settings </t>
    </r>
    <r>
      <rPr>
        <i/>
        <sz val="9"/>
        <color theme="0" tint="-0.34998626667073579"/>
        <rFont val="Aptos Narrow"/>
        <family val="2"/>
      </rPr>
      <t>→</t>
    </r>
  </si>
  <si>
    <t>Income</t>
  </si>
  <si>
    <t>Enter Income Category...</t>
  </si>
  <si>
    <t>Total</t>
  </si>
  <si>
    <t>Dividends</t>
  </si>
  <si>
    <t>Expenses</t>
  </si>
  <si>
    <t>Housing</t>
  </si>
  <si>
    <t>Utilites</t>
  </si>
  <si>
    <t>Groceries</t>
  </si>
  <si>
    <t>Enter Expenses Category...</t>
  </si>
  <si>
    <t>Savings</t>
  </si>
  <si>
    <t>Emergency Fund</t>
  </si>
  <si>
    <t>Retirement Account</t>
  </si>
  <si>
    <t>Stock Portfolio</t>
  </si>
  <si>
    <t>Enter Savings Category...</t>
  </si>
  <si>
    <t>To be allocated:</t>
  </si>
  <si>
    <t>Transportation</t>
  </si>
  <si>
    <t>Insurances</t>
  </si>
  <si>
    <t>Clothing</t>
  </si>
  <si>
    <t>Body Care &amp; Medicine</t>
  </si>
  <si>
    <t>Media</t>
  </si>
  <si>
    <t>Fun &amp; Vacation</t>
  </si>
  <si>
    <t>Sinking Fund Down Payment</t>
  </si>
  <si>
    <t>Sinking Fund Rest</t>
  </si>
  <si>
    <t xml:space="preserve">Date </t>
  </si>
  <si>
    <t>Type</t>
  </si>
  <si>
    <t>Category</t>
  </si>
  <si>
    <t>Amount</t>
  </si>
  <si>
    <t>Details</t>
  </si>
  <si>
    <t>Employment (Net)</t>
  </si>
  <si>
    <t>Side Hustle (Net)</t>
  </si>
  <si>
    <t>Balance</t>
  </si>
  <si>
    <t>Effective Date</t>
  </si>
  <si>
    <t>Budget Tracking &amp; Dashboard</t>
  </si>
  <si>
    <t>Late Monthly Income:</t>
  </si>
  <si>
    <t>Shift late income?</t>
  </si>
  <si>
    <t>Yes(Active)</t>
  </si>
  <si>
    <t>Starting on day X in month:</t>
  </si>
  <si>
    <t>Activate this option to treat late income received on or after a certain day of the month as income for the next month. This is especially recommended in case you receive your montly paycheck towards the end of the month and prefer to consider this income as the disposable income for the next month.</t>
  </si>
  <si>
    <t>Worksheet: Budget Tracking</t>
  </si>
  <si>
    <t>Today:</t>
  </si>
  <si>
    <t>Last Record:</t>
  </si>
  <si>
    <t>Delta Last Record:</t>
  </si>
  <si>
    <t># of Records:</t>
  </si>
  <si>
    <t># of Records this year:</t>
  </si>
  <si>
    <t>Tracking Balance:</t>
  </si>
  <si>
    <t>Balance Analysis Text:</t>
  </si>
  <si>
    <t>Year</t>
  </si>
  <si>
    <t>Select the year to view →</t>
  </si>
  <si>
    <t>Period</t>
  </si>
  <si>
    <t>Select the period to view →</t>
  </si>
  <si>
    <t>Year Dropdown</t>
  </si>
  <si>
    <t>Current Year</t>
  </si>
  <si>
    <t>Period Dropdown</t>
  </si>
  <si>
    <t>Total Year</t>
  </si>
  <si>
    <t>Current Month</t>
  </si>
  <si>
    <t>Worksheet: Budget Dashboard</t>
  </si>
  <si>
    <t>Selected Year:</t>
  </si>
  <si>
    <t>Selected Period:</t>
  </si>
  <si>
    <t>Selected Period (Display):</t>
  </si>
  <si>
    <t>row_id</t>
  </si>
  <si>
    <t>header_row_id</t>
  </si>
  <si>
    <t>is_header</t>
  </si>
  <si>
    <t>is_category</t>
  </si>
  <si>
    <t>is_total</t>
  </si>
  <si>
    <t>is_empty</t>
  </si>
  <si>
    <t>type</t>
  </si>
  <si>
    <t>item</t>
  </si>
  <si>
    <t>tracked</t>
  </si>
  <si>
    <t>budget</t>
  </si>
  <si>
    <t>sort_min_row</t>
  </si>
  <si>
    <t>sort_max_row</t>
  </si>
  <si>
    <t>tracked_range</t>
  </si>
  <si>
    <t>tracker_rank</t>
  </si>
  <si>
    <t>budget_range</t>
  </si>
  <si>
    <t>budget_rank</t>
  </si>
  <si>
    <t>combined_rank</t>
  </si>
  <si>
    <t>combined_rank_range</t>
  </si>
  <si>
    <t>combined_rank_norm</t>
  </si>
  <si>
    <t>combined_rank_norm_run_range</t>
  </si>
  <si>
    <t>combined_rank_unique</t>
  </si>
  <si>
    <t>sorted_row_id [Lookup]</t>
  </si>
  <si>
    <r>
      <rPr>
        <b/>
        <sz val="11"/>
        <color rgb="FF0070C0"/>
        <rFont val="Aptos Narrow"/>
        <family val="2"/>
        <scheme val="minor"/>
      </rPr>
      <t>Chart Calculations:</t>
    </r>
    <r>
      <rPr>
        <sz val="11"/>
        <color rgb="FF0070C0"/>
        <rFont val="Aptos Narrow"/>
        <family val="2"/>
        <scheme val="minor"/>
      </rPr>
      <t xml:space="preserve"> Category Distribution Charts</t>
    </r>
  </si>
  <si>
    <r>
      <rPr>
        <b/>
        <sz val="11"/>
        <color rgb="FF0070C0"/>
        <rFont val="Aptos Narrow"/>
        <family val="2"/>
        <scheme val="minor"/>
      </rPr>
      <t>Chart Calculations:</t>
    </r>
    <r>
      <rPr>
        <sz val="11"/>
        <color rgb="FF0070C0"/>
        <rFont val="Aptos Narrow"/>
        <family val="2"/>
        <scheme val="minor"/>
      </rPr>
      <t xml:space="preserve"> Tracked (vs. Budget) Chart</t>
    </r>
  </si>
  <si>
    <t>Month</t>
  </si>
  <si>
    <t>Month #</t>
  </si>
  <si>
    <t>In Focus</t>
  </si>
  <si>
    <t>Show Type</t>
  </si>
  <si>
    <t>Show Remaining Budget</t>
  </si>
  <si>
    <t>Tracked</t>
  </si>
  <si>
    <t>Budget</t>
  </si>
  <si>
    <t>Delta</t>
  </si>
  <si>
    <t>Period in Focus</t>
  </si>
  <si>
    <t>In Budget</t>
  </si>
  <si>
    <t>Remaining</t>
  </si>
  <si>
    <t>Excess</t>
  </si>
  <si>
    <t>Period NOT in Focus</t>
  </si>
  <si>
    <t>Show Income:</t>
  </si>
  <si>
    <t>Show Expenses:</t>
  </si>
  <si>
    <t>Show Savings:</t>
  </si>
  <si>
    <t>Show Remaining Budget:</t>
  </si>
  <si>
    <t>Days in Period:</t>
  </si>
  <si>
    <t>Days passed in Period:</t>
  </si>
  <si>
    <t>Days passed in Period %:</t>
  </si>
  <si>
    <t>Period Tracking Balance:</t>
  </si>
  <si>
    <t>KPI Calculation in Dashboard</t>
  </si>
  <si>
    <t>Savings Rate as % of Income:</t>
  </si>
  <si>
    <t>% allocated to Savings</t>
  </si>
  <si>
    <t xml:space="preserve">Choose how you want the savings rate(SR) to be calculated in the dashboard KPI tiles:  </t>
  </si>
  <si>
    <t>1) Active Option(% allocated to Savings):                               SR = Savings / Income</t>
  </si>
  <si>
    <t>2) Passive Option(% not allocated to Expenses)                 SR = (Income - Expenses) / Income</t>
  </si>
  <si>
    <t>Period Savings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</si>
</sst>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mm"/>
    <numFmt numFmtId="165" formatCode="mmmm"/>
    <numFmt numFmtId="166" formatCode="_(* #,##0_);_(* \(#,##0\);_(* &quot;-&quot;??_);_(@_)"/>
    <numFmt numFmtId="174" formatCode="0.0%"/>
  </numFmts>
  <fonts count="29"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sz val="9"/>
      <color theme="1"/>
      <name val="Aptos Narrow"/>
      <family val="2"/>
      <scheme val="minor"/>
    </font>
    <font>
      <i/>
      <sz val="9"/>
      <color theme="0" tint="-0.499984740745262"/>
      <name val="Aptos Narrow"/>
      <family val="2"/>
      <scheme val="minor"/>
    </font>
    <font>
      <sz val="9"/>
      <color theme="0" tint="-0.34998626667073579"/>
      <name val="Aptos Narrow"/>
      <family val="2"/>
      <scheme val="minor"/>
    </font>
    <font>
      <i/>
      <sz val="9"/>
      <color theme="0" tint="-0.34998626667073579"/>
      <name val="Aptos Narrow"/>
      <family val="2"/>
      <scheme val="minor"/>
    </font>
    <font>
      <i/>
      <sz val="9"/>
      <color theme="0" tint="-0.34998626667073579"/>
      <name val="Aptos Narrow"/>
      <family val="2"/>
    </font>
    <font>
      <b/>
      <sz val="10"/>
      <color theme="1"/>
      <name val="Aptos Narrow"/>
      <family val="2"/>
      <scheme val="minor"/>
    </font>
    <font>
      <b/>
      <sz val="9"/>
      <color theme="1"/>
      <name val="Aptos Narrow"/>
      <family val="2"/>
      <scheme val="minor"/>
    </font>
    <font>
      <sz val="10"/>
      <color theme="0" tint="-0.34998626667073579"/>
      <name val="Aptos Narrow"/>
      <family val="2"/>
      <scheme val="minor"/>
    </font>
    <font>
      <b/>
      <sz val="9"/>
      <color theme="0" tint="-0.34998626667073579"/>
      <name val="Aptos Narrow"/>
      <family val="2"/>
      <scheme val="minor"/>
    </font>
    <font>
      <i/>
      <sz val="10"/>
      <color theme="1"/>
      <name val="Aptos Narrow"/>
      <family val="2"/>
      <scheme val="minor"/>
    </font>
    <font>
      <sz val="10"/>
      <color theme="0" tint="-0.499984740745262"/>
      <name val="Aptos Narrow"/>
      <family val="2"/>
      <scheme val="minor"/>
    </font>
    <font>
      <sz val="11"/>
      <color theme="0" tint="-0.499984740745262"/>
      <name val="Aptos Narrow"/>
      <family val="2"/>
      <scheme val="minor"/>
    </font>
    <font>
      <b/>
      <sz val="12"/>
      <color theme="8"/>
      <name val="Aptos Narrow"/>
      <family val="2"/>
      <scheme val="minor"/>
    </font>
    <font>
      <sz val="10"/>
      <color theme="0" tint="-0.14999847407452621"/>
      <name val="Aptos Narrow"/>
      <family val="2"/>
      <scheme val="minor"/>
    </font>
    <font>
      <b/>
      <sz val="9"/>
      <color theme="0"/>
      <name val="Aptos Narrow"/>
      <family val="2"/>
      <scheme val="minor"/>
    </font>
    <font>
      <b/>
      <sz val="10"/>
      <color theme="0"/>
      <name val="Aptos Narrow"/>
      <family val="2"/>
      <scheme val="minor"/>
    </font>
    <font>
      <sz val="11"/>
      <color theme="8" tint="-0.249977111117893"/>
      <name val="Aptos Narrow"/>
      <family val="2"/>
      <scheme val="minor"/>
    </font>
    <font>
      <sz val="8"/>
      <color theme="1"/>
      <name val="Aptos Narrow"/>
      <family val="2"/>
      <scheme val="minor"/>
    </font>
    <font>
      <sz val="10.5"/>
      <color theme="1"/>
      <name val="Aptos Narrow"/>
      <family val="2"/>
      <scheme val="minor"/>
    </font>
    <font>
      <sz val="11"/>
      <color rgb="FF0070C0"/>
      <name val="Aptos Narrow"/>
      <family val="2"/>
      <scheme val="minor"/>
    </font>
    <font>
      <b/>
      <sz val="11"/>
      <color rgb="FF0070C0"/>
      <name val="Aptos Narrow"/>
      <family val="2"/>
      <scheme val="minor"/>
    </font>
    <font>
      <sz val="8"/>
      <name val="Aptos Narrow"/>
      <family val="2"/>
      <scheme val="minor"/>
    </font>
    <font>
      <sz val="8"/>
      <name val="Segoe UI"/>
      <family val="2"/>
    </font>
  </fonts>
  <fills count="12">
    <fill>
      <patternFill patternType="none"/>
    </fill>
    <fill>
      <patternFill patternType="gray125"/>
    </fill>
    <fill>
      <patternFill patternType="solid">
        <fgColor theme="3"/>
        <bgColor indexed="64"/>
      </patternFill>
    </fill>
    <fill>
      <patternFill patternType="solid">
        <fgColor theme="3" tint="0.89999084444715716"/>
        <bgColor indexed="64"/>
      </patternFill>
    </fill>
    <fill>
      <patternFill patternType="solid">
        <fgColor rgb="FF1BE34F"/>
        <bgColor indexed="64"/>
      </patternFill>
    </fill>
    <fill>
      <patternFill patternType="solid">
        <fgColor rgb="FFE7198F"/>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0"/>
        <bgColor indexed="64"/>
      </patternFill>
    </fill>
    <fill>
      <patternFill patternType="solid">
        <fgColor theme="1"/>
        <bgColor indexed="64"/>
      </patternFill>
    </fill>
  </fills>
  <borders count="19">
    <border>
      <left/>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right/>
      <top style="thin">
        <color auto="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top/>
      <bottom style="thin">
        <color indexed="64"/>
      </bottom>
      <diagonal/>
    </border>
    <border>
      <left/>
      <right/>
      <top style="dotted">
        <color auto="1"/>
      </top>
      <bottom style="double">
        <color auto="1"/>
      </bottom>
      <diagonal/>
    </border>
    <border>
      <left/>
      <right/>
      <top style="hair">
        <color auto="1"/>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1">
    <xf numFmtId="0" fontId="0" fillId="0" borderId="0" xfId="0"/>
    <xf numFmtId="0" fontId="2" fillId="2" borderId="0" xfId="0" applyFont="1" applyFill="1" applyAlignment="1">
      <alignment horizontal="center" vertical="center"/>
    </xf>
    <xf numFmtId="0" fontId="0" fillId="0" borderId="4" xfId="0" applyBorder="1"/>
    <xf numFmtId="0" fontId="5" fillId="3" borderId="0" xfId="0" applyFont="1" applyFill="1" applyAlignment="1">
      <alignment horizontal="center" vertical="center"/>
    </xf>
    <xf numFmtId="0" fontId="0" fillId="0" borderId="1" xfId="0" applyBorder="1"/>
    <xf numFmtId="0" fontId="0" fillId="0" borderId="2" xfId="0" applyBorder="1"/>
    <xf numFmtId="0" fontId="0" fillId="0" borderId="3" xfId="0" applyBorder="1"/>
    <xf numFmtId="0" fontId="0" fillId="0" borderId="5" xfId="0" applyBorder="1"/>
    <xf numFmtId="0" fontId="3" fillId="0" borderId="0" xfId="0" applyFont="1"/>
    <xf numFmtId="0" fontId="7" fillId="0" borderId="0" xfId="0" applyFont="1"/>
    <xf numFmtId="0" fontId="9" fillId="0" borderId="0" xfId="0" applyFont="1" applyAlignment="1">
      <alignment horizontal="right" vertical="center"/>
    </xf>
    <xf numFmtId="0" fontId="3" fillId="0" borderId="0" xfId="0" applyFont="1" applyAlignment="1">
      <alignment horizontal="left" indent="1"/>
    </xf>
    <xf numFmtId="0" fontId="3" fillId="0" borderId="6" xfId="0" applyFont="1" applyBorder="1" applyAlignment="1">
      <alignment horizontal="left" indent="1"/>
    </xf>
    <xf numFmtId="0" fontId="4" fillId="4" borderId="0" xfId="0" applyFont="1" applyFill="1" applyAlignment="1">
      <alignment horizontal="center"/>
    </xf>
    <xf numFmtId="164" fontId="4" fillId="4" borderId="0" xfId="0" applyNumberFormat="1" applyFont="1" applyFill="1" applyAlignment="1">
      <alignment horizontal="center"/>
    </xf>
    <xf numFmtId="0" fontId="11" fillId="0" borderId="6" xfId="0" applyFont="1" applyBorder="1" applyAlignment="1">
      <alignment horizontal="center" vertical="center"/>
    </xf>
    <xf numFmtId="0" fontId="13" fillId="0" borderId="0" xfId="0" applyFont="1" applyAlignment="1">
      <alignment horizontal="left" indent="1"/>
    </xf>
    <xf numFmtId="164" fontId="4" fillId="5" borderId="0" xfId="0" applyNumberFormat="1" applyFont="1" applyFill="1" applyAlignment="1">
      <alignment horizontal="center"/>
    </xf>
    <xf numFmtId="0" fontId="4" fillId="5" borderId="0" xfId="0" applyFont="1" applyFill="1" applyAlignment="1">
      <alignment horizontal="center"/>
    </xf>
    <xf numFmtId="164" fontId="4" fillId="6" borderId="0" xfId="0" applyNumberFormat="1" applyFont="1" applyFill="1" applyAlignment="1">
      <alignment horizontal="center"/>
    </xf>
    <xf numFmtId="0" fontId="4" fillId="6" borderId="0" xfId="0" applyFont="1" applyFill="1" applyAlignment="1">
      <alignment horizontal="center"/>
    </xf>
    <xf numFmtId="0" fontId="15" fillId="0" borderId="0" xfId="0" applyFont="1" applyAlignment="1">
      <alignment horizontal="right"/>
    </xf>
    <xf numFmtId="0" fontId="0" fillId="2" borderId="0" xfId="0" applyFill="1"/>
    <xf numFmtId="0" fontId="0" fillId="0" borderId="0" xfId="0" applyAlignment="1">
      <alignment vertical="center"/>
    </xf>
    <xf numFmtId="0" fontId="0" fillId="0" borderId="0" xfId="0" applyAlignment="1">
      <alignment horizontal="left" vertical="center" indent="1"/>
    </xf>
    <xf numFmtId="0" fontId="5" fillId="0" borderId="0" xfId="0" applyFont="1" applyAlignment="1">
      <alignment horizontal="left" indent="1"/>
    </xf>
    <xf numFmtId="15" fontId="5" fillId="0" borderId="0" xfId="0" applyNumberFormat="1" applyFont="1" applyAlignment="1">
      <alignment horizontal="left" indent="1"/>
    </xf>
    <xf numFmtId="0" fontId="16" fillId="0" borderId="0" xfId="0" applyFont="1" applyAlignment="1">
      <alignment horizontal="left" indent="1"/>
    </xf>
    <xf numFmtId="0" fontId="17" fillId="7" borderId="0" xfId="0" applyFont="1" applyFill="1" applyAlignment="1">
      <alignment horizontal="left" vertical="center" indent="1"/>
    </xf>
    <xf numFmtId="0" fontId="18" fillId="0" borderId="0" xfId="0" applyFont="1"/>
    <xf numFmtId="15" fontId="19" fillId="0" borderId="0" xfId="0" applyNumberFormat="1" applyFont="1" applyAlignment="1">
      <alignment horizontal="right" indent="1"/>
    </xf>
    <xf numFmtId="0" fontId="0" fillId="8" borderId="0" xfId="0" applyFill="1"/>
    <xf numFmtId="15" fontId="0" fillId="0" borderId="0" xfId="0" applyNumberFormat="1"/>
    <xf numFmtId="0" fontId="22" fillId="8" borderId="0" xfId="0" applyFont="1" applyFill="1"/>
    <xf numFmtId="0" fontId="5" fillId="0" borderId="11" xfId="0" applyFont="1" applyBorder="1" applyAlignment="1">
      <alignment horizontal="center" vertical="center"/>
    </xf>
    <xf numFmtId="0" fontId="5" fillId="0" borderId="7" xfId="0" applyFont="1" applyBorder="1" applyAlignment="1">
      <alignment horizontal="center" vertical="center"/>
    </xf>
    <xf numFmtId="165" fontId="5" fillId="0" borderId="11" xfId="0" applyNumberFormat="1" applyFont="1" applyBorder="1" applyAlignment="1">
      <alignment horizontal="center" vertical="center"/>
    </xf>
    <xf numFmtId="165" fontId="5" fillId="0" borderId="7" xfId="0" applyNumberFormat="1" applyFont="1" applyBorder="1" applyAlignment="1">
      <alignment horizontal="center" vertical="center"/>
    </xf>
    <xf numFmtId="0" fontId="3" fillId="0" borderId="4" xfId="0" applyFont="1" applyBorder="1"/>
    <xf numFmtId="0" fontId="0" fillId="0" borderId="0" xfId="0" applyAlignment="1">
      <alignment horizontal="right"/>
    </xf>
    <xf numFmtId="0" fontId="23" fillId="7" borderId="1" xfId="0" applyFont="1" applyFill="1" applyBorder="1" applyAlignment="1">
      <alignment horizontal="center" vertical="center"/>
    </xf>
    <xf numFmtId="0" fontId="23" fillId="7" borderId="2" xfId="0" applyFont="1" applyFill="1" applyBorder="1" applyAlignment="1">
      <alignment horizontal="center" vertical="center"/>
    </xf>
    <xf numFmtId="0" fontId="23" fillId="7" borderId="0" xfId="0" applyFont="1" applyFill="1" applyAlignment="1">
      <alignment horizontal="center" vertical="center"/>
    </xf>
    <xf numFmtId="43" fontId="0" fillId="0" borderId="0" xfId="0" applyNumberFormat="1"/>
    <xf numFmtId="0" fontId="16" fillId="0" borderId="0" xfId="0" applyFont="1" applyAlignment="1">
      <alignment horizontal="left" indent="2"/>
    </xf>
    <xf numFmtId="43" fontId="0" fillId="10" borderId="0" xfId="0" applyNumberFormat="1" applyFill="1"/>
    <xf numFmtId="0" fontId="0" fillId="2" borderId="0" xfId="0" applyFill="1" applyAlignment="1">
      <alignment vertical="center"/>
    </xf>
    <xf numFmtId="0" fontId="0" fillId="0" borderId="2" xfId="0" applyBorder="1" applyAlignment="1">
      <alignment vertical="center"/>
    </xf>
    <xf numFmtId="0" fontId="0" fillId="2" borderId="0" xfId="0" applyFill="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66" fontId="0" fillId="0" borderId="0" xfId="1" applyNumberFormat="1" applyFont="1" applyBorder="1" applyAlignment="1">
      <alignment vertical="center"/>
    </xf>
    <xf numFmtId="166" fontId="0" fillId="0" borderId="2" xfId="1" applyNumberFormat="1" applyFont="1" applyBorder="1" applyAlignment="1">
      <alignment vertical="center"/>
    </xf>
    <xf numFmtId="0" fontId="23" fillId="7" borderId="2" xfId="0" applyFont="1" applyFill="1" applyBorder="1" applyAlignment="1">
      <alignment vertical="center"/>
    </xf>
    <xf numFmtId="0" fontId="23" fillId="7" borderId="11" xfId="0" applyFont="1" applyFill="1" applyBorder="1" applyAlignment="1">
      <alignment vertical="center"/>
    </xf>
    <xf numFmtId="0" fontId="0" fillId="0" borderId="11" xfId="0" applyBorder="1" applyAlignment="1">
      <alignment vertical="center"/>
    </xf>
    <xf numFmtId="0" fontId="24" fillId="0" borderId="0" xfId="0" applyFont="1" applyAlignment="1">
      <alignment vertical="center"/>
    </xf>
    <xf numFmtId="9" fontId="24" fillId="0" borderId="0" xfId="2" applyFont="1" applyAlignment="1">
      <alignment horizontal="center" vertical="center"/>
    </xf>
    <xf numFmtId="166" fontId="24" fillId="0" borderId="0" xfId="1" applyNumberFormat="1" applyFont="1" applyAlignment="1">
      <alignment horizontal="center" vertical="center"/>
    </xf>
    <xf numFmtId="0" fontId="2" fillId="2" borderId="0" xfId="0" applyFont="1" applyFill="1" applyAlignment="1">
      <alignment horizontal="center" vertical="center"/>
    </xf>
    <xf numFmtId="0" fontId="7" fillId="0" borderId="0" xfId="0" applyFont="1" applyAlignment="1">
      <alignment horizontal="left" vertical="top" wrapText="1"/>
    </xf>
    <xf numFmtId="0" fontId="21" fillId="2" borderId="0" xfId="0" applyFont="1" applyFill="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5" fillId="9" borderId="10" xfId="0" applyFont="1" applyFill="1" applyBorder="1" applyAlignment="1">
      <alignment horizontal="center" vertical="center"/>
    </xf>
    <xf numFmtId="0" fontId="9" fillId="0" borderId="0" xfId="0" applyFont="1" applyAlignment="1">
      <alignment horizontal="right" vertical="center" indent="1"/>
    </xf>
    <xf numFmtId="165" fontId="5" fillId="9" borderId="10" xfId="0" applyNumberFormat="1" applyFont="1" applyFill="1" applyBorder="1" applyAlignment="1">
      <alignment horizontal="center" vertical="center"/>
    </xf>
    <xf numFmtId="0" fontId="20" fillId="2" borderId="0" xfId="0" applyFont="1" applyFill="1" applyAlignment="1">
      <alignment horizontal="left" vertical="center" indent="1"/>
    </xf>
    <xf numFmtId="0" fontId="0" fillId="0" borderId="13" xfId="0" applyBorder="1"/>
    <xf numFmtId="0" fontId="0" fillId="0" borderId="10" xfId="0" applyBorder="1"/>
    <xf numFmtId="0" fontId="0" fillId="0" borderId="14" xfId="0" applyBorder="1"/>
    <xf numFmtId="0" fontId="0" fillId="0" borderId="0" xfId="0" applyBorder="1"/>
    <xf numFmtId="0" fontId="0" fillId="0" borderId="15" xfId="0" applyBorder="1"/>
    <xf numFmtId="0" fontId="25" fillId="0" borderId="15" xfId="0" applyFont="1" applyBorder="1"/>
    <xf numFmtId="0" fontId="3" fillId="0" borderId="16" xfId="0" applyFont="1" applyBorder="1" applyAlignment="1">
      <alignment horizontal="center"/>
    </xf>
    <xf numFmtId="0" fontId="0" fillId="0" borderId="0" xfId="0" applyAlignment="1">
      <alignment horizontal="center"/>
    </xf>
    <xf numFmtId="0" fontId="0" fillId="0" borderId="17" xfId="0" applyBorder="1" applyAlignment="1">
      <alignment horizontal="center"/>
    </xf>
    <xf numFmtId="0" fontId="3" fillId="0" borderId="0" xfId="0" applyFont="1" applyAlignment="1">
      <alignment horizontal="center"/>
    </xf>
    <xf numFmtId="166" fontId="0" fillId="0" borderId="0" xfId="1" applyNumberFormat="1" applyFont="1" applyAlignment="1">
      <alignment horizontal="center"/>
    </xf>
    <xf numFmtId="166" fontId="0" fillId="0" borderId="17" xfId="1" applyNumberFormat="1" applyFont="1" applyBorder="1" applyAlignment="1">
      <alignment horizontal="center"/>
    </xf>
    <xf numFmtId="166" fontId="3" fillId="0" borderId="0" xfId="1" applyNumberFormat="1" applyFont="1" applyAlignment="1">
      <alignment horizontal="center"/>
    </xf>
    <xf numFmtId="0" fontId="6" fillId="0" borderId="0" xfId="0" applyFont="1" applyBorder="1" applyAlignment="1">
      <alignment horizontal="left" vertical="center" indent="1"/>
    </xf>
    <xf numFmtId="43" fontId="6" fillId="0" borderId="0" xfId="1" applyFont="1" applyBorder="1" applyAlignment="1">
      <alignment vertical="center"/>
    </xf>
    <xf numFmtId="0" fontId="12" fillId="0" borderId="18" xfId="0" applyFont="1" applyBorder="1" applyAlignment="1">
      <alignment horizontal="left" vertical="center" indent="1"/>
    </xf>
    <xf numFmtId="43" fontId="12" fillId="0" borderId="18" xfId="1" applyFont="1" applyBorder="1" applyAlignment="1">
      <alignment vertical="center"/>
    </xf>
    <xf numFmtId="0" fontId="21" fillId="11" borderId="0" xfId="0" applyFont="1" applyFill="1" applyAlignment="1">
      <alignment horizontal="center" vertical="center"/>
    </xf>
    <xf numFmtId="0" fontId="11" fillId="8" borderId="0" xfId="0" applyFont="1" applyFill="1" applyAlignment="1">
      <alignment horizontal="center" vertical="center"/>
    </xf>
    <xf numFmtId="164" fontId="0" fillId="0" borderId="12" xfId="0" applyNumberFormat="1" applyBorder="1" applyAlignment="1">
      <alignment horizontal="center" vertical="center"/>
    </xf>
    <xf numFmtId="164" fontId="0" fillId="0" borderId="0" xfId="0" applyNumberFormat="1" applyBorder="1" applyAlignment="1">
      <alignment horizontal="center" vertical="center"/>
    </xf>
    <xf numFmtId="164" fontId="0" fillId="0" borderId="16" xfId="0" applyNumberFormat="1" applyBorder="1" applyAlignment="1">
      <alignment horizontal="center" vertical="center"/>
    </xf>
    <xf numFmtId="0" fontId="0" fillId="0" borderId="12" xfId="0" applyBorder="1" applyAlignment="1">
      <alignment horizontal="center"/>
    </xf>
    <xf numFmtId="0" fontId="0" fillId="0" borderId="0" xfId="0" applyBorder="1" applyAlignment="1">
      <alignment horizontal="center"/>
    </xf>
    <xf numFmtId="0" fontId="0" fillId="0" borderId="16" xfId="0" applyBorder="1" applyAlignment="1">
      <alignment horizontal="center"/>
    </xf>
    <xf numFmtId="0" fontId="11" fillId="0" borderId="0" xfId="0" applyFont="1"/>
    <xf numFmtId="0" fontId="5" fillId="0" borderId="0" xfId="0" applyFont="1"/>
    <xf numFmtId="166" fontId="0" fillId="0" borderId="0" xfId="1" applyNumberFormat="1" applyFont="1" applyBorder="1" applyAlignment="1">
      <alignment horizontal="center"/>
    </xf>
    <xf numFmtId="166" fontId="0" fillId="0" borderId="16" xfId="1" applyNumberFormat="1" applyFont="1" applyBorder="1" applyAlignment="1">
      <alignment horizontal="center"/>
    </xf>
    <xf numFmtId="0" fontId="0" fillId="0" borderId="4" xfId="0" applyBorder="1" applyAlignment="1">
      <alignment horizontal="right"/>
    </xf>
    <xf numFmtId="9" fontId="0" fillId="0" borderId="0" xfId="2" applyFont="1"/>
    <xf numFmtId="0" fontId="7" fillId="0" borderId="0" xfId="0" applyFont="1" applyAlignment="1">
      <alignment vertical="top"/>
    </xf>
    <xf numFmtId="174" fontId="0" fillId="0" borderId="0" xfId="2" applyNumberFormat="1" applyFont="1"/>
    <xf numFmtId="166" fontId="6" fillId="0" borderId="6" xfId="1" applyNumberFormat="1" applyFont="1" applyBorder="1"/>
    <xf numFmtId="166" fontId="12" fillId="0" borderId="6" xfId="1" applyNumberFormat="1" applyFont="1" applyBorder="1"/>
    <xf numFmtId="166" fontId="8" fillId="0" borderId="6" xfId="1" applyNumberFormat="1" applyFont="1" applyBorder="1"/>
    <xf numFmtId="166" fontId="14" fillId="0" borderId="6" xfId="1" applyNumberFormat="1" applyFont="1" applyBorder="1" applyAlignment="1"/>
    <xf numFmtId="166" fontId="5" fillId="0" borderId="0" xfId="1" applyNumberFormat="1" applyFont="1" applyAlignment="1">
      <alignment horizontal="left" indent="1"/>
    </xf>
    <xf numFmtId="166" fontId="5" fillId="0" borderId="0" xfId="1" applyNumberFormat="1" applyFont="1" applyAlignment="1">
      <alignment horizontal="left" indent="2"/>
    </xf>
    <xf numFmtId="166" fontId="0" fillId="0" borderId="0" xfId="1" applyNumberFormat="1" applyFont="1"/>
    <xf numFmtId="166" fontId="16" fillId="0" borderId="0" xfId="1" applyNumberFormat="1" applyFont="1" applyAlignment="1">
      <alignment horizontal="left" indent="1"/>
    </xf>
    <xf numFmtId="166" fontId="16" fillId="0" borderId="0" xfId="1" applyNumberFormat="1" applyFont="1" applyAlignment="1">
      <alignment horizontal="left" indent="2"/>
    </xf>
  </cellXfs>
  <cellStyles count="3">
    <cellStyle name="Comma" xfId="1" builtinId="3"/>
    <cellStyle name="Normal" xfId="0" builtinId="0"/>
    <cellStyle name="Percent" xfId="2" builtinId="5"/>
  </cellStyles>
  <dxfs count="64">
    <dxf>
      <font>
        <strike val="0"/>
        <outline val="0"/>
        <shadow val="0"/>
        <u val="none"/>
        <vertAlign val="baseline"/>
        <sz val="10"/>
        <color theme="0" tint="-0.499984740745262"/>
        <name val="Aptos Narrow"/>
        <family val="2"/>
        <scheme val="minor"/>
      </font>
      <numFmt numFmtId="166" formatCode="_(* #,##0_);_(* \(#,##0\);_(* &quot;-&quot;??_);_(@_)"/>
      <alignment horizontal="left" vertical="bottom" textRotation="0" wrapText="0" relativeIndent="1" justifyLastLine="0" shrinkToFit="0" readingOrder="0"/>
    </dxf>
    <dxf>
      <font>
        <strike val="0"/>
        <outline val="0"/>
        <shadow val="0"/>
        <u val="none"/>
        <vertAlign val="baseline"/>
        <sz val="10"/>
        <color theme="0" tint="-0.14999847407452621"/>
        <name val="Aptos Narrow"/>
        <family val="2"/>
        <scheme val="minor"/>
      </font>
      <numFmt numFmtId="20" formatCode="d\-mmm\-yy"/>
      <alignment horizontal="right" vertical="bottom" textRotation="0" wrapText="0" indent="1" justifyLastLine="0" shrinkToFit="0" readingOrder="0"/>
    </dxf>
    <dxf>
      <font>
        <strike val="0"/>
        <outline val="0"/>
        <shadow val="0"/>
        <u val="none"/>
        <vertAlign val="baseline"/>
        <sz val="10"/>
        <color theme="0" tint="-0.499984740745262"/>
        <name val="Aptos Narrow"/>
        <family val="2"/>
        <scheme val="minor"/>
      </font>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numFmt numFmtId="166" formatCode="_(* #,##0_);_(* \(#,##0\);_(* &quot;-&quot;??_);_(@_)"/>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alignment horizontal="left" vertical="bottom" textRotation="0" wrapText="0" relativeIndent="1" justifyLastLine="0" shrinkToFit="0" readingOrder="0"/>
    </dxf>
    <dxf>
      <fill>
        <patternFill>
          <bgColor theme="0" tint="-4.9989318521683403E-2"/>
        </patternFill>
      </fill>
    </dxf>
    <dxf>
      <fill>
        <patternFill>
          <bgColor theme="3" tint="0.89996032593768116"/>
        </patternFill>
      </fill>
    </dxf>
    <dxf>
      <fill>
        <patternFill>
          <bgColor theme="3" tint="0.749961851863155"/>
        </patternFill>
      </fill>
    </dxf>
    <dxf>
      <fill>
        <patternFill>
          <bgColor rgb="FF00B0F0"/>
        </patternFill>
      </fill>
    </dxf>
    <dxf>
      <fill>
        <patternFill>
          <bgColor rgb="FF0070C0"/>
        </patternFill>
      </fill>
    </dxf>
    <dxf>
      <fill>
        <patternFill>
          <bgColor rgb="FF002060"/>
        </patternFill>
      </fill>
    </dxf>
    <dxf>
      <fill>
        <patternFill>
          <bgColor theme="0" tint="-4.9989318521683403E-2"/>
        </patternFill>
      </fill>
    </dxf>
    <dxf>
      <fill>
        <patternFill>
          <bgColor rgb="FFFFCCCC"/>
        </patternFill>
      </fill>
    </dxf>
    <dxf>
      <fill>
        <patternFill>
          <bgColor rgb="FFFF99CC"/>
        </patternFill>
      </fill>
    </dxf>
    <dxf>
      <fill>
        <patternFill>
          <bgColor rgb="FFFF33CC"/>
        </patternFill>
      </fill>
    </dxf>
    <dxf>
      <fill>
        <patternFill>
          <bgColor rgb="FFFF3399"/>
        </patternFill>
      </fill>
    </dxf>
    <dxf>
      <fill>
        <patternFill>
          <bgColor rgb="FFD11580"/>
        </patternFill>
      </fill>
    </dxf>
    <dxf>
      <fill>
        <patternFill>
          <bgColor theme="0" tint="-4.9989318521683403E-2"/>
        </patternFill>
      </fill>
    </dxf>
    <dxf>
      <fill>
        <patternFill>
          <bgColor theme="9" tint="0.79998168889431442"/>
        </patternFill>
      </fill>
    </dxf>
    <dxf>
      <fill>
        <patternFill>
          <bgColor theme="6" tint="0.79998168889431442"/>
        </patternFill>
      </fill>
    </dxf>
    <dxf>
      <fill>
        <patternFill>
          <bgColor theme="6" tint="0.59996337778862885"/>
        </patternFill>
      </fill>
    </dxf>
    <dxf>
      <fill>
        <patternFill>
          <bgColor theme="6" tint="0.39994506668294322"/>
        </patternFill>
      </fill>
    </dxf>
    <dxf>
      <fill>
        <patternFill>
          <bgColor rgb="FF00B050"/>
        </patternFill>
      </fill>
    </dxf>
    <dxf>
      <fill>
        <patternFill>
          <bgColor theme="7" tint="0.39994506668294322"/>
        </patternFill>
      </fill>
    </dxf>
    <dxf>
      <fill>
        <patternFill>
          <bgColor rgb="FFFF66CC"/>
        </patternFill>
      </fill>
    </dxf>
    <dxf>
      <fill>
        <patternFill>
          <bgColor theme="9" tint="0.39994506668294322"/>
        </patternFill>
      </fill>
    </dxf>
    <dxf>
      <font>
        <b/>
        <i val="0"/>
      </font>
      <border>
        <top style="thin">
          <color auto="1"/>
        </top>
        <vertical/>
        <horizontal/>
      </border>
    </dxf>
    <dxf>
      <font>
        <b/>
        <i val="0"/>
        <color theme="0"/>
      </font>
      <fill>
        <patternFill>
          <bgColor theme="7"/>
        </patternFill>
      </fill>
    </dxf>
    <dxf>
      <font>
        <b/>
        <i val="0"/>
        <color theme="0"/>
      </font>
      <fill>
        <patternFill>
          <bgColor rgb="FFFF0180"/>
        </patternFill>
      </fill>
    </dxf>
    <dxf>
      <font>
        <b/>
        <i val="0"/>
        <color theme="0"/>
      </font>
      <fill>
        <patternFill>
          <bgColor rgb="FF00B050"/>
        </patternFill>
      </fill>
    </dxf>
    <dxf>
      <font>
        <color theme="0" tint="-0.499984740745262"/>
      </font>
      <numFmt numFmtId="167" formatCode="\→\ d\-mmm\-yy"/>
    </dxf>
    <dxf>
      <font>
        <b/>
        <i val="0"/>
        <color rgb="FF00B050"/>
      </font>
      <numFmt numFmtId="7" formatCode="#,##0.00_);\(#,##0.00\)"/>
    </dxf>
    <dxf>
      <font>
        <b val="0"/>
        <i/>
        <color rgb="FFFF3399"/>
      </font>
    </dxf>
    <dxf>
      <font>
        <b/>
        <i/>
        <color rgb="FF0070C0"/>
      </font>
    </dxf>
    <dxf>
      <font>
        <color rgb="FFFF0000"/>
      </font>
    </dxf>
    <dxf>
      <font>
        <color rgb="FFFF0000"/>
      </font>
    </dxf>
    <dxf>
      <font>
        <color rgb="FF00B050"/>
      </font>
    </dxf>
    <dxf>
      <font>
        <color theme="0" tint="-0.24994659260841701"/>
      </font>
    </dxf>
    <dxf>
      <font>
        <color rgb="FF000000"/>
      </font>
      <fill>
        <patternFill>
          <bgColor theme="7" tint="0.79998168889431442"/>
        </patternFill>
      </fill>
    </dxf>
    <dxf>
      <font>
        <color rgb="FF000000"/>
      </font>
      <fill>
        <patternFill>
          <bgColor rgb="FFFF99CC"/>
        </patternFill>
      </fill>
    </dxf>
    <dxf>
      <font>
        <color rgb="FF000000"/>
      </font>
      <fill>
        <patternFill>
          <bgColor theme="9" tint="0.79998168889431442"/>
        </patternFill>
      </fill>
    </dxf>
    <dxf>
      <font>
        <color theme="0" tint="-0.24994659260841701"/>
      </font>
      <fill>
        <patternFill>
          <bgColor theme="0" tint="-4.9989318521683403E-2"/>
        </patternFill>
      </fill>
    </dxf>
    <dxf>
      <font>
        <strike val="0"/>
        <outline val="0"/>
        <shadow val="0"/>
        <u val="none"/>
        <vertAlign val="baseline"/>
        <sz val="10"/>
        <color theme="1"/>
        <name val="Aptos Narrow"/>
        <family val="2"/>
        <scheme val="minor"/>
      </font>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numFmt numFmtId="20" formatCode="d\-mmm\-yy"/>
      <alignment horizontal="left" vertical="bottom" textRotation="0" wrapText="0" relativeIndent="1" justifyLastLine="0" shrinkToFit="0" readingOrder="0"/>
    </dxf>
    <dxf>
      <font>
        <strike val="0"/>
        <outline val="0"/>
        <shadow val="0"/>
        <u val="none"/>
        <vertAlign val="baseline"/>
        <sz val="10"/>
        <color theme="1"/>
        <name val="Aptos Narrow"/>
        <family val="2"/>
        <scheme val="minor"/>
      </font>
      <alignment horizontal="left" vertical="bottom" textRotation="0" wrapText="0" relativeIndent="1" justifyLastLine="0" shrinkToFit="0" readingOrder="0"/>
    </dxf>
    <dxf>
      <alignment horizontal="left" vertical="center" textRotation="0" wrapText="0" relativeIndent="1" justifyLastLine="0" shrinkToFit="0" readingOrder="0"/>
    </dxf>
    <dxf>
      <font>
        <b val="0"/>
        <i val="0"/>
        <strike val="0"/>
        <condense val="0"/>
        <extend val="0"/>
        <outline val="0"/>
        <shadow val="0"/>
        <u val="none"/>
        <vertAlign val="baseline"/>
        <sz val="10"/>
        <color theme="0" tint="-0.34998626667073579"/>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Aptos Narrow"/>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Aptos Narrow"/>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Aptos Narrow"/>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Aptos Narrow"/>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1" justifyLastLine="0" shrinkToFit="0" readingOrder="0"/>
    </dxf>
    <dxf>
      <fill>
        <patternFill>
          <bgColor theme="0" tint="-4.9989318521683403E-2"/>
        </patternFill>
      </fill>
    </dxf>
    <dxf>
      <font>
        <b/>
        <i val="0"/>
        <color theme="0"/>
      </font>
      <fill>
        <patternFill>
          <bgColor theme="3"/>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font>
        <b/>
        <i val="0"/>
        <color theme="0"/>
      </font>
      <fill>
        <patternFill>
          <bgColor rgb="FF0070C0"/>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rgb="FF1BE34F"/>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rgb="FFE7198F"/>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4" defaultTableStyle="TableStyleMedium2" defaultPivotStyle="PivotStyleLight16">
    <tableStyle name="Expenses Table Style " pivot="0" count="2" xr9:uid="{326508D2-2C79-4807-9F00-67A902935AB8}">
      <tableStyleElement type="wholeTable" dxfId="63"/>
      <tableStyleElement type="headerRow" dxfId="62"/>
    </tableStyle>
    <tableStyle name="Income Table Style" pivot="0" count="2" xr9:uid="{8AA6F861-3E34-4D8B-AEFC-46A74006077C}">
      <tableStyleElement type="wholeTable" dxfId="61"/>
      <tableStyleElement type="headerRow" dxfId="60"/>
    </tableStyle>
    <tableStyle name="Savings Table Style " pivot="0" count="2" xr9:uid="{D7690769-AC45-43BB-929C-0273040C1905}">
      <tableStyleElement type="wholeTable" dxfId="59"/>
      <tableStyleElement type="headerRow" dxfId="58"/>
    </tableStyle>
    <tableStyle name="Tracking Table Style" pivot="0" count="3" xr9:uid="{5C9B00DD-2FCC-4DEF-8B6B-0EF167C1C526}">
      <tableStyleElement type="wholeTable" dxfId="57"/>
      <tableStyleElement type="headerRow" dxfId="56"/>
      <tableStyleElement type="firstRowStripe" dxfId="55"/>
    </tableStyle>
  </tableStyles>
  <colors>
    <mruColors>
      <color rgb="FFFF3399"/>
      <color rgb="FFFFCCCC"/>
      <color rgb="FFFF99CC"/>
      <color rgb="FFB2126D"/>
      <color rgb="FFD11580"/>
      <color rgb="FFFF33CC"/>
      <color rgb="FFD3D3D3"/>
      <color rgb="FFF3F3F3"/>
      <color rgb="FFE0E0E0"/>
      <color rgb="FFE719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C841-42A7-93B4-5D824762E5F4}"/>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C841-42A7-93B4-5D824762E5F4}"/>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C841-42A7-93B4-5D824762E5F4}"/>
              </c:ext>
            </c:extLst>
          </c:dPt>
          <c:dPt>
            <c:idx val="3"/>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7-C841-42A7-93B4-5D824762E5F4}"/>
              </c:ext>
            </c:extLst>
          </c:dPt>
          <c:dPt>
            <c:idx val="4"/>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9-C841-42A7-93B4-5D824762E5F4}"/>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C841-42A7-93B4-5D824762E5F4}"/>
              </c:ext>
            </c:extLst>
          </c:dPt>
          <c:cat>
            <c:strRef>
              <c:f>Calculations!$E$35:$E$40</c:f>
              <c:strCache>
                <c:ptCount val="3"/>
                <c:pt idx="0">
                  <c:v>Employment (Net)</c:v>
                </c:pt>
                <c:pt idx="1">
                  <c:v>Side Hustle (Net)</c:v>
                </c:pt>
                <c:pt idx="2">
                  <c:v>Dividends</c:v>
                </c:pt>
              </c:strCache>
            </c:strRef>
          </c:cat>
          <c:val>
            <c:numRef>
              <c:f>Calculations!$F$35:$F$40</c:f>
              <c:numCache>
                <c:formatCode>_(* #,##0_);_(* \(#,##0\);_(* "-"??_);_(@_)</c:formatCode>
                <c:ptCount val="6"/>
                <c:pt idx="0">
                  <c:v>10500</c:v>
                </c:pt>
                <c:pt idx="1">
                  <c:v>2800</c:v>
                </c:pt>
                <c:pt idx="2">
                  <c:v>300</c:v>
                </c:pt>
                <c:pt idx="3">
                  <c:v>0</c:v>
                </c:pt>
                <c:pt idx="4">
                  <c:v>0</c:v>
                </c:pt>
                <c:pt idx="5">
                  <c:v>0</c:v>
                </c:pt>
              </c:numCache>
            </c:numRef>
          </c:val>
          <c:extLst>
            <c:ext xmlns:c16="http://schemas.microsoft.com/office/drawing/2014/chart" uri="{C3380CC4-5D6E-409C-BE32-E72D297353CC}">
              <c16:uniqueId val="{0000000C-C841-42A7-93B4-5D824762E5F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2"/>
          <c:dPt>
            <c:idx val="0"/>
            <c:bubble3D val="0"/>
            <c:spPr>
              <a:solidFill>
                <a:srgbClr val="D11580"/>
              </a:solidFill>
              <a:ln w="19050">
                <a:solidFill>
                  <a:schemeClr val="lt1"/>
                </a:solidFill>
              </a:ln>
              <a:effectLst/>
            </c:spPr>
            <c:extLst>
              <c:ext xmlns:c16="http://schemas.microsoft.com/office/drawing/2014/chart" uri="{C3380CC4-5D6E-409C-BE32-E72D297353CC}">
                <c16:uniqueId val="{00000001-210F-4697-9651-CAEFD962C494}"/>
              </c:ext>
            </c:extLst>
          </c:dPt>
          <c:dPt>
            <c:idx val="1"/>
            <c:bubble3D val="0"/>
            <c:spPr>
              <a:solidFill>
                <a:srgbClr val="FF3399"/>
              </a:solidFill>
              <a:ln w="19050">
                <a:solidFill>
                  <a:schemeClr val="lt1"/>
                </a:solidFill>
              </a:ln>
              <a:effectLst/>
            </c:spPr>
            <c:extLst>
              <c:ext xmlns:c16="http://schemas.microsoft.com/office/drawing/2014/chart" uri="{C3380CC4-5D6E-409C-BE32-E72D297353CC}">
                <c16:uniqueId val="{00000003-210F-4697-9651-CAEFD962C494}"/>
              </c:ext>
            </c:extLst>
          </c:dPt>
          <c:dPt>
            <c:idx val="2"/>
            <c:bubble3D val="0"/>
            <c:spPr>
              <a:solidFill>
                <a:srgbClr val="FF33CC"/>
              </a:solidFill>
              <a:ln w="19050">
                <a:solidFill>
                  <a:schemeClr val="lt1"/>
                </a:solidFill>
              </a:ln>
              <a:effectLst/>
            </c:spPr>
            <c:extLst>
              <c:ext xmlns:c16="http://schemas.microsoft.com/office/drawing/2014/chart" uri="{C3380CC4-5D6E-409C-BE32-E72D297353CC}">
                <c16:uniqueId val="{00000005-210F-4697-9651-CAEFD962C494}"/>
              </c:ext>
            </c:extLst>
          </c:dPt>
          <c:dPt>
            <c:idx val="3"/>
            <c:bubble3D val="0"/>
            <c:spPr>
              <a:solidFill>
                <a:srgbClr val="FF99CC"/>
              </a:solidFill>
              <a:ln w="19050">
                <a:solidFill>
                  <a:schemeClr val="lt1"/>
                </a:solidFill>
              </a:ln>
              <a:effectLst/>
            </c:spPr>
            <c:extLst>
              <c:ext xmlns:c16="http://schemas.microsoft.com/office/drawing/2014/chart" uri="{C3380CC4-5D6E-409C-BE32-E72D297353CC}">
                <c16:uniqueId val="{00000007-210F-4697-9651-CAEFD962C494}"/>
              </c:ext>
            </c:extLst>
          </c:dPt>
          <c:dPt>
            <c:idx val="4"/>
            <c:bubble3D val="0"/>
            <c:spPr>
              <a:solidFill>
                <a:srgbClr val="FFCCCC"/>
              </a:solidFill>
              <a:ln w="19050">
                <a:solidFill>
                  <a:schemeClr val="lt1"/>
                </a:solidFill>
              </a:ln>
              <a:effectLst/>
            </c:spPr>
            <c:extLst>
              <c:ext xmlns:c16="http://schemas.microsoft.com/office/drawing/2014/chart" uri="{C3380CC4-5D6E-409C-BE32-E72D297353CC}">
                <c16:uniqueId val="{00000009-210F-4697-9651-CAEFD962C494}"/>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210F-4697-9651-CAEFD962C494}"/>
              </c:ext>
            </c:extLst>
          </c:dPt>
          <c:cat>
            <c:strRef>
              <c:f>Calculations!$I$35:$I$40</c:f>
              <c:strCache>
                <c:ptCount val="6"/>
                <c:pt idx="0">
                  <c:v>Housing</c:v>
                </c:pt>
                <c:pt idx="1">
                  <c:v>Groceries</c:v>
                </c:pt>
                <c:pt idx="2">
                  <c:v>Utilites</c:v>
                </c:pt>
                <c:pt idx="3">
                  <c:v>Fun &amp; Vacation</c:v>
                </c:pt>
                <c:pt idx="4">
                  <c:v>Transportation</c:v>
                </c:pt>
                <c:pt idx="5">
                  <c:v>Other</c:v>
                </c:pt>
              </c:strCache>
            </c:strRef>
          </c:cat>
          <c:val>
            <c:numRef>
              <c:f>Calculations!$J$35:$J$40</c:f>
              <c:numCache>
                <c:formatCode>_(* #,##0_);_(* \(#,##0\);_(* "-"??_);_(@_)</c:formatCode>
                <c:ptCount val="6"/>
                <c:pt idx="0">
                  <c:v>3600</c:v>
                </c:pt>
                <c:pt idx="1">
                  <c:v>900</c:v>
                </c:pt>
                <c:pt idx="2">
                  <c:v>900</c:v>
                </c:pt>
                <c:pt idx="3">
                  <c:v>730</c:v>
                </c:pt>
                <c:pt idx="4">
                  <c:v>610</c:v>
                </c:pt>
                <c:pt idx="5">
                  <c:v>1150</c:v>
                </c:pt>
              </c:numCache>
            </c:numRef>
          </c:val>
          <c:extLst>
            <c:ext xmlns:c16="http://schemas.microsoft.com/office/drawing/2014/chart" uri="{C3380CC4-5D6E-409C-BE32-E72D297353CC}">
              <c16:uniqueId val="{0000000C-210F-4697-9651-CAEFD962C49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explosion val="2"/>
          <c:dPt>
            <c:idx val="0"/>
            <c:bubble3D val="0"/>
            <c:spPr>
              <a:solidFill>
                <a:srgbClr val="002060"/>
              </a:solidFill>
              <a:ln w="19050">
                <a:solidFill>
                  <a:schemeClr val="lt1"/>
                </a:solidFill>
              </a:ln>
              <a:effectLst/>
            </c:spPr>
            <c:extLst>
              <c:ext xmlns:c16="http://schemas.microsoft.com/office/drawing/2014/chart" uri="{C3380CC4-5D6E-409C-BE32-E72D297353CC}">
                <c16:uniqueId val="{00000001-DCC8-411B-BF25-771514856D25}"/>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DCC8-411B-BF25-771514856D25}"/>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DCC8-411B-BF25-771514856D25}"/>
              </c:ext>
            </c:extLst>
          </c:dPt>
          <c:dPt>
            <c:idx val="3"/>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7-DCC8-411B-BF25-771514856D25}"/>
              </c:ext>
            </c:extLst>
          </c:dPt>
          <c:dPt>
            <c:idx val="4"/>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9-DCC8-411B-BF25-771514856D25}"/>
              </c:ext>
            </c:extLst>
          </c:dPt>
          <c:dPt>
            <c:idx val="5"/>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B-DCC8-411B-BF25-771514856D25}"/>
              </c:ext>
            </c:extLst>
          </c:dPt>
          <c:cat>
            <c:strRef>
              <c:f>Calculations!$M$35:$M$40</c:f>
              <c:strCache>
                <c:ptCount val="4"/>
                <c:pt idx="0">
                  <c:v>Emergency Fund</c:v>
                </c:pt>
                <c:pt idx="1">
                  <c:v>Retirement Account</c:v>
                </c:pt>
                <c:pt idx="2">
                  <c:v>Stock Portfolio</c:v>
                </c:pt>
                <c:pt idx="3">
                  <c:v>Sinking Fund Rest</c:v>
                </c:pt>
              </c:strCache>
            </c:strRef>
          </c:cat>
          <c:val>
            <c:numRef>
              <c:f>Calculations!$N$35:$N$40</c:f>
              <c:numCache>
                <c:formatCode>_(* #,##0_);_(* \(#,##0\);_(* "-"??_);_(@_)</c:formatCode>
                <c:ptCount val="6"/>
                <c:pt idx="0">
                  <c:v>1140</c:v>
                </c:pt>
                <c:pt idx="1">
                  <c:v>800</c:v>
                </c:pt>
                <c:pt idx="2">
                  <c:v>750</c:v>
                </c:pt>
                <c:pt idx="3">
                  <c:v>400</c:v>
                </c:pt>
                <c:pt idx="4">
                  <c:v>0</c:v>
                </c:pt>
                <c:pt idx="5">
                  <c:v>0</c:v>
                </c:pt>
              </c:numCache>
            </c:numRef>
          </c:val>
          <c:extLst>
            <c:ext xmlns:c16="http://schemas.microsoft.com/office/drawing/2014/chart" uri="{C3380CC4-5D6E-409C-BE32-E72D297353CC}">
              <c16:uniqueId val="{0000000C-DCC8-411B-BF25-771514856D2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3">
                <a:lumMod val="60000"/>
                <a:lumOff val="40000"/>
              </a:schemeClr>
            </a:solidFill>
            <a:ln>
              <a:noFill/>
            </a:ln>
            <a:effectLst/>
          </c:spPr>
          <c:invertIfNegative val="0"/>
          <c:dPt>
            <c:idx val="1"/>
            <c:invertIfNegative val="0"/>
            <c:bubble3D val="0"/>
            <c:spPr>
              <a:solidFill>
                <a:srgbClr val="FF3399"/>
              </a:solidFill>
              <a:ln>
                <a:noFill/>
              </a:ln>
              <a:effectLst/>
            </c:spPr>
            <c:extLst>
              <c:ext xmlns:c16="http://schemas.microsoft.com/office/drawing/2014/chart" uri="{C3380CC4-5D6E-409C-BE32-E72D297353CC}">
                <c16:uniqueId val="{00000001-54FE-47F4-B19D-205FCBA1DE96}"/>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54FE-47F4-B19D-205FCBA1DE96}"/>
              </c:ext>
            </c:extLst>
          </c:dPt>
          <c:dPt>
            <c:idx val="5"/>
            <c:invertIfNegative val="0"/>
            <c:bubble3D val="0"/>
            <c:spPr>
              <a:solidFill>
                <a:srgbClr val="FF3399"/>
              </a:solidFill>
              <a:ln>
                <a:noFill/>
              </a:ln>
              <a:effectLst/>
            </c:spPr>
            <c:extLst>
              <c:ext xmlns:c16="http://schemas.microsoft.com/office/drawing/2014/chart" uri="{C3380CC4-5D6E-409C-BE32-E72D297353CC}">
                <c16:uniqueId val="{00000005-54FE-47F4-B19D-205FCBA1DE96}"/>
              </c:ext>
            </c:extLst>
          </c:dPt>
          <c:dPt>
            <c:idx val="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7-54FE-47F4-B19D-205FCBA1DE96}"/>
              </c:ext>
            </c:extLst>
          </c:dPt>
          <c:dPt>
            <c:idx val="9"/>
            <c:invertIfNegative val="0"/>
            <c:bubble3D val="0"/>
            <c:spPr>
              <a:solidFill>
                <a:srgbClr val="FF3399"/>
              </a:solidFill>
              <a:ln>
                <a:noFill/>
              </a:ln>
              <a:effectLst/>
            </c:spPr>
            <c:extLst>
              <c:ext xmlns:c16="http://schemas.microsoft.com/office/drawing/2014/chart" uri="{C3380CC4-5D6E-409C-BE32-E72D297353CC}">
                <c16:uniqueId val="{00000009-54FE-47F4-B19D-205FCBA1DE96}"/>
              </c:ext>
            </c:extLst>
          </c:dPt>
          <c:dPt>
            <c:idx val="1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B-54FE-47F4-B19D-205FCBA1DE96}"/>
              </c:ext>
            </c:extLst>
          </c:dPt>
          <c:dPt>
            <c:idx val="13"/>
            <c:invertIfNegative val="0"/>
            <c:bubble3D val="0"/>
            <c:spPr>
              <a:solidFill>
                <a:srgbClr val="FF3399"/>
              </a:solidFill>
              <a:ln>
                <a:noFill/>
              </a:ln>
              <a:effectLst/>
            </c:spPr>
            <c:extLst>
              <c:ext xmlns:c16="http://schemas.microsoft.com/office/drawing/2014/chart" uri="{C3380CC4-5D6E-409C-BE32-E72D297353CC}">
                <c16:uniqueId val="{0000000D-54FE-47F4-B19D-205FCBA1DE96}"/>
              </c:ext>
            </c:extLst>
          </c:dPt>
          <c:dPt>
            <c:idx val="1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F-54FE-47F4-B19D-205FCBA1DE96}"/>
              </c:ext>
            </c:extLst>
          </c:dPt>
          <c:dPt>
            <c:idx val="17"/>
            <c:invertIfNegative val="0"/>
            <c:bubble3D val="0"/>
            <c:spPr>
              <a:solidFill>
                <a:srgbClr val="FF3399"/>
              </a:solidFill>
              <a:ln>
                <a:noFill/>
              </a:ln>
              <a:effectLst/>
            </c:spPr>
            <c:extLst>
              <c:ext xmlns:c16="http://schemas.microsoft.com/office/drawing/2014/chart" uri="{C3380CC4-5D6E-409C-BE32-E72D297353CC}">
                <c16:uniqueId val="{00000011-54FE-47F4-B19D-205FCBA1DE96}"/>
              </c:ext>
            </c:extLst>
          </c:dPt>
          <c:dPt>
            <c:idx val="18"/>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13-54FE-47F4-B19D-205FCBA1DE96}"/>
              </c:ext>
            </c:extLst>
          </c:dPt>
          <c:dPt>
            <c:idx val="21"/>
            <c:invertIfNegative val="0"/>
            <c:bubble3D val="0"/>
            <c:spPr>
              <a:solidFill>
                <a:srgbClr val="FF3399"/>
              </a:solidFill>
              <a:ln>
                <a:noFill/>
              </a:ln>
              <a:effectLst/>
            </c:spPr>
            <c:extLst>
              <c:ext xmlns:c16="http://schemas.microsoft.com/office/drawing/2014/chart" uri="{C3380CC4-5D6E-409C-BE32-E72D297353CC}">
                <c16:uniqueId val="{00000015-54FE-47F4-B19D-205FCBA1DE96}"/>
              </c:ext>
            </c:extLst>
          </c:dPt>
          <c:dPt>
            <c:idx val="2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17-54FE-47F4-B19D-205FCBA1DE96}"/>
              </c:ext>
            </c:extLst>
          </c:dPt>
          <c:dPt>
            <c:idx val="25"/>
            <c:invertIfNegative val="0"/>
            <c:bubble3D val="0"/>
            <c:spPr>
              <a:solidFill>
                <a:srgbClr val="FF3399"/>
              </a:solidFill>
              <a:ln>
                <a:noFill/>
              </a:ln>
              <a:effectLst/>
            </c:spPr>
            <c:extLst>
              <c:ext xmlns:c16="http://schemas.microsoft.com/office/drawing/2014/chart" uri="{C3380CC4-5D6E-409C-BE32-E72D297353CC}">
                <c16:uniqueId val="{00000019-54FE-47F4-B19D-205FCBA1DE96}"/>
              </c:ext>
            </c:extLst>
          </c:dPt>
          <c:dPt>
            <c:idx val="2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1B-54FE-47F4-B19D-205FCBA1DE96}"/>
              </c:ext>
            </c:extLst>
          </c:dPt>
          <c:dPt>
            <c:idx val="29"/>
            <c:invertIfNegative val="0"/>
            <c:bubble3D val="0"/>
            <c:spPr>
              <a:solidFill>
                <a:srgbClr val="FF3399"/>
              </a:solidFill>
              <a:ln>
                <a:noFill/>
              </a:ln>
              <a:effectLst/>
            </c:spPr>
            <c:extLst>
              <c:ext xmlns:c16="http://schemas.microsoft.com/office/drawing/2014/chart" uri="{C3380CC4-5D6E-409C-BE32-E72D297353CC}">
                <c16:uniqueId val="{0000001D-54FE-47F4-B19D-205FCBA1DE96}"/>
              </c:ext>
            </c:extLst>
          </c:dPt>
          <c:dPt>
            <c:idx val="3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1F-54FE-47F4-B19D-205FCBA1DE96}"/>
              </c:ext>
            </c:extLst>
          </c:dPt>
          <c:dPt>
            <c:idx val="33"/>
            <c:invertIfNegative val="0"/>
            <c:bubble3D val="0"/>
            <c:spPr>
              <a:solidFill>
                <a:srgbClr val="FF3399"/>
              </a:solidFill>
              <a:ln>
                <a:noFill/>
              </a:ln>
              <a:effectLst/>
            </c:spPr>
            <c:extLst>
              <c:ext xmlns:c16="http://schemas.microsoft.com/office/drawing/2014/chart" uri="{C3380CC4-5D6E-409C-BE32-E72D297353CC}">
                <c16:uniqueId val="{00000021-54FE-47F4-B19D-205FCBA1DE96}"/>
              </c:ext>
            </c:extLst>
          </c:dPt>
          <c:dPt>
            <c:idx val="3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23-54FE-47F4-B19D-205FCBA1DE96}"/>
              </c:ext>
            </c:extLst>
          </c:dPt>
          <c:dPt>
            <c:idx val="37"/>
            <c:invertIfNegative val="0"/>
            <c:bubble3D val="0"/>
            <c:spPr>
              <a:solidFill>
                <a:srgbClr val="FF3399"/>
              </a:solidFill>
              <a:ln>
                <a:noFill/>
              </a:ln>
              <a:effectLst/>
            </c:spPr>
            <c:extLst>
              <c:ext xmlns:c16="http://schemas.microsoft.com/office/drawing/2014/chart" uri="{C3380CC4-5D6E-409C-BE32-E72D297353CC}">
                <c16:uniqueId val="{00000025-54FE-47F4-B19D-205FCBA1DE96}"/>
              </c:ext>
            </c:extLst>
          </c:dPt>
          <c:dPt>
            <c:idx val="38"/>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27-54FE-47F4-B19D-205FCBA1DE96}"/>
              </c:ext>
            </c:extLst>
          </c:dPt>
          <c:dPt>
            <c:idx val="41"/>
            <c:invertIfNegative val="0"/>
            <c:bubble3D val="0"/>
            <c:spPr>
              <a:solidFill>
                <a:srgbClr val="FF3399"/>
              </a:solidFill>
              <a:ln>
                <a:noFill/>
              </a:ln>
              <a:effectLst/>
            </c:spPr>
            <c:extLst>
              <c:ext xmlns:c16="http://schemas.microsoft.com/office/drawing/2014/chart" uri="{C3380CC4-5D6E-409C-BE32-E72D297353CC}">
                <c16:uniqueId val="{00000029-54FE-47F4-B19D-205FCBA1DE96}"/>
              </c:ext>
            </c:extLst>
          </c:dPt>
          <c:dPt>
            <c:idx val="4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2B-54FE-47F4-B19D-205FCBA1DE96}"/>
              </c:ext>
            </c:extLst>
          </c:dPt>
          <c:dPt>
            <c:idx val="45"/>
            <c:invertIfNegative val="0"/>
            <c:bubble3D val="0"/>
            <c:spPr>
              <a:solidFill>
                <a:srgbClr val="FF3399"/>
              </a:solidFill>
              <a:ln>
                <a:noFill/>
              </a:ln>
              <a:effectLst/>
            </c:spPr>
            <c:extLst>
              <c:ext xmlns:c16="http://schemas.microsoft.com/office/drawing/2014/chart" uri="{C3380CC4-5D6E-409C-BE32-E72D297353CC}">
                <c16:uniqueId val="{0000002D-54FE-47F4-B19D-205FCBA1DE96}"/>
              </c:ext>
            </c:extLst>
          </c:dPt>
          <c:dPt>
            <c:idx val="46"/>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2F-54FE-47F4-B19D-205FCBA1DE96}"/>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Calculations!$M$55:$M$102</c:f>
              <c:numCache>
                <c:formatCode>_(* #,##0_);_(* \(#,##0\);_(* "-"??_);_(@_)</c:formatCode>
                <c:ptCount val="48"/>
                <c:pt idx="0">
                  <c:v>4650</c:v>
                </c:pt>
                <c:pt idx="1">
                  <c:v>2800</c:v>
                </c:pt>
                <c:pt idx="2">
                  <c:v>1750</c:v>
                </c:pt>
                <c:pt idx="4">
                  <c:v>4050</c:v>
                </c:pt>
                <c:pt idx="5">
                  <c:v>2900</c:v>
                </c:pt>
                <c:pt idx="6">
                  <c:v>1040</c:v>
                </c:pt>
                <c:pt idx="8">
                  <c:v>4600</c:v>
                </c:pt>
                <c:pt idx="9">
                  <c:v>2080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30-54FE-47F4-B19D-205FCBA1DE96}"/>
            </c:ext>
          </c:extLst>
        </c:ser>
        <c:ser>
          <c:idx val="1"/>
          <c:order val="1"/>
          <c:spPr>
            <a:solidFill>
              <a:schemeClr val="accent3">
                <a:lumMod val="20000"/>
                <a:lumOff val="80000"/>
              </a:schemeClr>
            </a:solidFill>
            <a:ln>
              <a:noFill/>
            </a:ln>
            <a:effectLst/>
          </c:spPr>
          <c:invertIfNegative val="0"/>
          <c:dPt>
            <c:idx val="1"/>
            <c:invertIfNegative val="0"/>
            <c:bubble3D val="0"/>
            <c:spPr>
              <a:solidFill>
                <a:srgbClr val="FFCCCC"/>
              </a:solidFill>
              <a:ln>
                <a:noFill/>
              </a:ln>
              <a:effectLst/>
            </c:spPr>
            <c:extLst>
              <c:ext xmlns:c16="http://schemas.microsoft.com/office/drawing/2014/chart" uri="{C3380CC4-5D6E-409C-BE32-E72D297353CC}">
                <c16:uniqueId val="{00000032-54FE-47F4-B19D-205FCBA1DE96}"/>
              </c:ext>
            </c:extLst>
          </c:dPt>
          <c:dPt>
            <c:idx val="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34-54FE-47F4-B19D-205FCBA1DE96}"/>
              </c:ext>
            </c:extLst>
          </c:dPt>
          <c:dPt>
            <c:idx val="5"/>
            <c:invertIfNegative val="0"/>
            <c:bubble3D val="0"/>
            <c:spPr>
              <a:solidFill>
                <a:srgbClr val="FFCCCC"/>
              </a:solidFill>
              <a:ln>
                <a:noFill/>
              </a:ln>
              <a:effectLst/>
            </c:spPr>
            <c:extLst>
              <c:ext xmlns:c16="http://schemas.microsoft.com/office/drawing/2014/chart" uri="{C3380CC4-5D6E-409C-BE32-E72D297353CC}">
                <c16:uniqueId val="{00000036-54FE-47F4-B19D-205FCBA1DE96}"/>
              </c:ext>
            </c:extLst>
          </c:dPt>
          <c:dPt>
            <c:idx val="6"/>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38-54FE-47F4-B19D-205FCBA1DE96}"/>
              </c:ext>
            </c:extLst>
          </c:dPt>
          <c:dPt>
            <c:idx val="9"/>
            <c:invertIfNegative val="0"/>
            <c:bubble3D val="0"/>
            <c:spPr>
              <a:solidFill>
                <a:srgbClr val="FFCCCC"/>
              </a:solidFill>
              <a:ln>
                <a:noFill/>
              </a:ln>
              <a:effectLst/>
            </c:spPr>
            <c:extLst>
              <c:ext xmlns:c16="http://schemas.microsoft.com/office/drawing/2014/chart" uri="{C3380CC4-5D6E-409C-BE32-E72D297353CC}">
                <c16:uniqueId val="{0000003A-54FE-47F4-B19D-205FCBA1DE96}"/>
              </c:ext>
            </c:extLst>
          </c:dPt>
          <c:dPt>
            <c:idx val="10"/>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3C-54FE-47F4-B19D-205FCBA1DE96}"/>
              </c:ext>
            </c:extLst>
          </c:dPt>
          <c:dPt>
            <c:idx val="13"/>
            <c:invertIfNegative val="0"/>
            <c:bubble3D val="0"/>
            <c:spPr>
              <a:solidFill>
                <a:srgbClr val="FFCCCC"/>
              </a:solidFill>
              <a:ln>
                <a:noFill/>
              </a:ln>
              <a:effectLst/>
            </c:spPr>
            <c:extLst>
              <c:ext xmlns:c16="http://schemas.microsoft.com/office/drawing/2014/chart" uri="{C3380CC4-5D6E-409C-BE32-E72D297353CC}">
                <c16:uniqueId val="{0000003E-54FE-47F4-B19D-205FCBA1DE96}"/>
              </c:ext>
            </c:extLst>
          </c:dPt>
          <c:dPt>
            <c:idx val="1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40-54FE-47F4-B19D-205FCBA1DE96}"/>
              </c:ext>
            </c:extLst>
          </c:dPt>
          <c:dPt>
            <c:idx val="17"/>
            <c:invertIfNegative val="0"/>
            <c:bubble3D val="0"/>
            <c:spPr>
              <a:solidFill>
                <a:srgbClr val="FFCCCC"/>
              </a:solidFill>
              <a:ln>
                <a:noFill/>
              </a:ln>
              <a:effectLst/>
            </c:spPr>
            <c:extLst>
              <c:ext xmlns:c16="http://schemas.microsoft.com/office/drawing/2014/chart" uri="{C3380CC4-5D6E-409C-BE32-E72D297353CC}">
                <c16:uniqueId val="{00000042-54FE-47F4-B19D-205FCBA1DE96}"/>
              </c:ext>
            </c:extLst>
          </c:dPt>
          <c:dPt>
            <c:idx val="18"/>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44-54FE-47F4-B19D-205FCBA1DE96}"/>
              </c:ext>
            </c:extLst>
          </c:dPt>
          <c:dPt>
            <c:idx val="21"/>
            <c:invertIfNegative val="0"/>
            <c:bubble3D val="0"/>
            <c:spPr>
              <a:solidFill>
                <a:srgbClr val="FFCCCC"/>
              </a:solidFill>
              <a:ln>
                <a:noFill/>
              </a:ln>
              <a:effectLst/>
            </c:spPr>
            <c:extLst>
              <c:ext xmlns:c16="http://schemas.microsoft.com/office/drawing/2014/chart" uri="{C3380CC4-5D6E-409C-BE32-E72D297353CC}">
                <c16:uniqueId val="{00000046-54FE-47F4-B19D-205FCBA1DE96}"/>
              </c:ext>
            </c:extLst>
          </c:dPt>
          <c:dPt>
            <c:idx val="2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48-54FE-47F4-B19D-205FCBA1DE96}"/>
              </c:ext>
            </c:extLst>
          </c:dPt>
          <c:dPt>
            <c:idx val="25"/>
            <c:invertIfNegative val="0"/>
            <c:bubble3D val="0"/>
            <c:spPr>
              <a:solidFill>
                <a:srgbClr val="FFCCCC"/>
              </a:solidFill>
              <a:ln>
                <a:noFill/>
              </a:ln>
              <a:effectLst/>
            </c:spPr>
            <c:extLst>
              <c:ext xmlns:c16="http://schemas.microsoft.com/office/drawing/2014/chart" uri="{C3380CC4-5D6E-409C-BE32-E72D297353CC}">
                <c16:uniqueId val="{0000004A-54FE-47F4-B19D-205FCBA1DE96}"/>
              </c:ext>
            </c:extLst>
          </c:dPt>
          <c:dPt>
            <c:idx val="26"/>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4C-54FE-47F4-B19D-205FCBA1DE96}"/>
              </c:ext>
            </c:extLst>
          </c:dPt>
          <c:dPt>
            <c:idx val="29"/>
            <c:invertIfNegative val="0"/>
            <c:bubble3D val="0"/>
            <c:spPr>
              <a:solidFill>
                <a:srgbClr val="FFCCCC"/>
              </a:solidFill>
              <a:ln>
                <a:noFill/>
              </a:ln>
              <a:effectLst/>
            </c:spPr>
            <c:extLst>
              <c:ext xmlns:c16="http://schemas.microsoft.com/office/drawing/2014/chart" uri="{C3380CC4-5D6E-409C-BE32-E72D297353CC}">
                <c16:uniqueId val="{0000004E-54FE-47F4-B19D-205FCBA1DE96}"/>
              </c:ext>
            </c:extLst>
          </c:dPt>
          <c:dPt>
            <c:idx val="30"/>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50-54FE-47F4-B19D-205FCBA1DE96}"/>
              </c:ext>
            </c:extLst>
          </c:dPt>
          <c:dPt>
            <c:idx val="33"/>
            <c:invertIfNegative val="0"/>
            <c:bubble3D val="0"/>
            <c:spPr>
              <a:solidFill>
                <a:srgbClr val="FFCCCC"/>
              </a:solidFill>
              <a:ln>
                <a:noFill/>
              </a:ln>
              <a:effectLst/>
            </c:spPr>
            <c:extLst>
              <c:ext xmlns:c16="http://schemas.microsoft.com/office/drawing/2014/chart" uri="{C3380CC4-5D6E-409C-BE32-E72D297353CC}">
                <c16:uniqueId val="{00000052-54FE-47F4-B19D-205FCBA1DE96}"/>
              </c:ext>
            </c:extLst>
          </c:dPt>
          <c:dPt>
            <c:idx val="3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54-54FE-47F4-B19D-205FCBA1DE96}"/>
              </c:ext>
            </c:extLst>
          </c:dPt>
          <c:dPt>
            <c:idx val="37"/>
            <c:invertIfNegative val="0"/>
            <c:bubble3D val="0"/>
            <c:spPr>
              <a:solidFill>
                <a:srgbClr val="FFCCCC"/>
              </a:solidFill>
              <a:ln>
                <a:noFill/>
              </a:ln>
              <a:effectLst/>
            </c:spPr>
            <c:extLst>
              <c:ext xmlns:c16="http://schemas.microsoft.com/office/drawing/2014/chart" uri="{C3380CC4-5D6E-409C-BE32-E72D297353CC}">
                <c16:uniqueId val="{00000056-54FE-47F4-B19D-205FCBA1DE96}"/>
              </c:ext>
            </c:extLst>
          </c:dPt>
          <c:dPt>
            <c:idx val="38"/>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58-54FE-47F4-B19D-205FCBA1DE96}"/>
              </c:ext>
            </c:extLst>
          </c:dPt>
          <c:dPt>
            <c:idx val="41"/>
            <c:invertIfNegative val="0"/>
            <c:bubble3D val="0"/>
            <c:spPr>
              <a:solidFill>
                <a:srgbClr val="FFCCCC"/>
              </a:solidFill>
              <a:ln>
                <a:noFill/>
              </a:ln>
              <a:effectLst/>
            </c:spPr>
            <c:extLst>
              <c:ext xmlns:c16="http://schemas.microsoft.com/office/drawing/2014/chart" uri="{C3380CC4-5D6E-409C-BE32-E72D297353CC}">
                <c16:uniqueId val="{0000005A-54FE-47F4-B19D-205FCBA1DE96}"/>
              </c:ext>
            </c:extLst>
          </c:dPt>
          <c:dPt>
            <c:idx val="4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5C-54FE-47F4-B19D-205FCBA1DE96}"/>
              </c:ext>
            </c:extLst>
          </c:dPt>
          <c:dPt>
            <c:idx val="45"/>
            <c:invertIfNegative val="0"/>
            <c:bubble3D val="0"/>
            <c:spPr>
              <a:solidFill>
                <a:srgbClr val="FFCCCC"/>
              </a:solidFill>
              <a:ln>
                <a:noFill/>
              </a:ln>
              <a:effectLst/>
            </c:spPr>
            <c:extLst>
              <c:ext xmlns:c16="http://schemas.microsoft.com/office/drawing/2014/chart" uri="{C3380CC4-5D6E-409C-BE32-E72D297353CC}">
                <c16:uniqueId val="{0000005E-54FE-47F4-B19D-205FCBA1DE96}"/>
              </c:ext>
            </c:extLst>
          </c:dPt>
          <c:dPt>
            <c:idx val="46"/>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60-54FE-47F4-B19D-205FCBA1DE96}"/>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Calculations!$N$55:$N$102</c:f>
              <c:numCache>
                <c:formatCode>_(* #,##0_);_(* \(#,##0\);_(* "-"??_);_(@_)</c:formatCode>
                <c:ptCount val="48"/>
                <c:pt idx="0">
                  <c:v>0</c:v>
                </c:pt>
                <c:pt idx="1">
                  <c:v>100</c:v>
                </c:pt>
                <c:pt idx="2">
                  <c:v>0</c:v>
                </c:pt>
                <c:pt idx="4">
                  <c:v>500</c:v>
                </c:pt>
                <c:pt idx="5">
                  <c:v>0</c:v>
                </c:pt>
                <c:pt idx="6">
                  <c:v>610</c:v>
                </c:pt>
                <c:pt idx="8">
                  <c:v>0</c:v>
                </c:pt>
                <c:pt idx="9">
                  <c:v>970</c:v>
                </c:pt>
                <c:pt idx="10">
                  <c:v>1550</c:v>
                </c:pt>
                <c:pt idx="12">
                  <c:v>5650</c:v>
                </c:pt>
                <c:pt idx="13">
                  <c:v>3800</c:v>
                </c:pt>
                <c:pt idx="14">
                  <c:v>1850</c:v>
                </c:pt>
                <c:pt idx="16">
                  <c:v>5550</c:v>
                </c:pt>
                <c:pt idx="17">
                  <c:v>2900</c:v>
                </c:pt>
                <c:pt idx="18">
                  <c:v>2650</c:v>
                </c:pt>
                <c:pt idx="20">
                  <c:v>5600</c:v>
                </c:pt>
                <c:pt idx="21">
                  <c:v>3050</c:v>
                </c:pt>
                <c:pt idx="22">
                  <c:v>2550</c:v>
                </c:pt>
                <c:pt idx="24">
                  <c:v>5650</c:v>
                </c:pt>
                <c:pt idx="25">
                  <c:v>2900</c:v>
                </c:pt>
                <c:pt idx="26">
                  <c:v>2750</c:v>
                </c:pt>
                <c:pt idx="28">
                  <c:v>5550</c:v>
                </c:pt>
                <c:pt idx="29">
                  <c:v>4100</c:v>
                </c:pt>
                <c:pt idx="30">
                  <c:v>1450</c:v>
                </c:pt>
                <c:pt idx="32">
                  <c:v>5600</c:v>
                </c:pt>
                <c:pt idx="33">
                  <c:v>3050</c:v>
                </c:pt>
                <c:pt idx="34">
                  <c:v>2550</c:v>
                </c:pt>
                <c:pt idx="36">
                  <c:v>5650</c:v>
                </c:pt>
                <c:pt idx="37">
                  <c:v>2900</c:v>
                </c:pt>
                <c:pt idx="38">
                  <c:v>2750</c:v>
                </c:pt>
                <c:pt idx="40">
                  <c:v>5550</c:v>
                </c:pt>
                <c:pt idx="41">
                  <c:v>2900</c:v>
                </c:pt>
                <c:pt idx="42">
                  <c:v>2650</c:v>
                </c:pt>
                <c:pt idx="44">
                  <c:v>5600</c:v>
                </c:pt>
                <c:pt idx="45">
                  <c:v>3350</c:v>
                </c:pt>
                <c:pt idx="46">
                  <c:v>2250</c:v>
                </c:pt>
              </c:numCache>
            </c:numRef>
          </c:val>
          <c:extLst>
            <c:ext xmlns:c16="http://schemas.microsoft.com/office/drawing/2014/chart" uri="{C3380CC4-5D6E-409C-BE32-E72D297353CC}">
              <c16:uniqueId val="{00000061-54FE-47F4-B19D-205FCBA1DE96}"/>
            </c:ext>
          </c:extLst>
        </c:ser>
        <c:ser>
          <c:idx val="2"/>
          <c:order val="2"/>
          <c:spPr>
            <a:solidFill>
              <a:schemeClr val="accent3"/>
            </a:solidFill>
            <a:ln>
              <a:noFill/>
            </a:ln>
            <a:effectLst/>
          </c:spPr>
          <c:invertIfNegative val="0"/>
          <c:dPt>
            <c:idx val="1"/>
            <c:invertIfNegative val="0"/>
            <c:bubble3D val="0"/>
            <c:spPr>
              <a:solidFill>
                <a:srgbClr val="B2126D"/>
              </a:solidFill>
              <a:ln>
                <a:noFill/>
              </a:ln>
              <a:effectLst/>
            </c:spPr>
            <c:extLst>
              <c:ext xmlns:c16="http://schemas.microsoft.com/office/drawing/2014/chart" uri="{C3380CC4-5D6E-409C-BE32-E72D297353CC}">
                <c16:uniqueId val="{00000063-54FE-47F4-B19D-205FCBA1DE96}"/>
              </c:ext>
            </c:extLst>
          </c:dPt>
          <c:dPt>
            <c:idx val="2"/>
            <c:invertIfNegative val="0"/>
            <c:bubble3D val="0"/>
            <c:spPr>
              <a:solidFill>
                <a:srgbClr val="002060"/>
              </a:solidFill>
              <a:ln>
                <a:noFill/>
              </a:ln>
              <a:effectLst/>
            </c:spPr>
            <c:extLst>
              <c:ext xmlns:c16="http://schemas.microsoft.com/office/drawing/2014/chart" uri="{C3380CC4-5D6E-409C-BE32-E72D297353CC}">
                <c16:uniqueId val="{00000065-54FE-47F4-B19D-205FCBA1DE96}"/>
              </c:ext>
            </c:extLst>
          </c:dPt>
          <c:dPt>
            <c:idx val="5"/>
            <c:invertIfNegative val="0"/>
            <c:bubble3D val="0"/>
            <c:spPr>
              <a:solidFill>
                <a:srgbClr val="B2126D"/>
              </a:solidFill>
              <a:ln>
                <a:noFill/>
              </a:ln>
              <a:effectLst/>
            </c:spPr>
            <c:extLst>
              <c:ext xmlns:c16="http://schemas.microsoft.com/office/drawing/2014/chart" uri="{C3380CC4-5D6E-409C-BE32-E72D297353CC}">
                <c16:uniqueId val="{00000067-54FE-47F4-B19D-205FCBA1DE96}"/>
              </c:ext>
            </c:extLst>
          </c:dPt>
          <c:dPt>
            <c:idx val="6"/>
            <c:invertIfNegative val="0"/>
            <c:bubble3D val="0"/>
            <c:spPr>
              <a:solidFill>
                <a:srgbClr val="002060"/>
              </a:solidFill>
              <a:ln>
                <a:noFill/>
              </a:ln>
              <a:effectLst/>
            </c:spPr>
            <c:extLst>
              <c:ext xmlns:c16="http://schemas.microsoft.com/office/drawing/2014/chart" uri="{C3380CC4-5D6E-409C-BE32-E72D297353CC}">
                <c16:uniqueId val="{00000069-54FE-47F4-B19D-205FCBA1DE96}"/>
              </c:ext>
            </c:extLst>
          </c:dPt>
          <c:dPt>
            <c:idx val="9"/>
            <c:invertIfNegative val="0"/>
            <c:bubble3D val="0"/>
            <c:spPr>
              <a:solidFill>
                <a:srgbClr val="B2126D"/>
              </a:solidFill>
              <a:ln>
                <a:noFill/>
              </a:ln>
              <a:effectLst/>
            </c:spPr>
            <c:extLst>
              <c:ext xmlns:c16="http://schemas.microsoft.com/office/drawing/2014/chart" uri="{C3380CC4-5D6E-409C-BE32-E72D297353CC}">
                <c16:uniqueId val="{0000006B-54FE-47F4-B19D-205FCBA1DE96}"/>
              </c:ext>
            </c:extLst>
          </c:dPt>
          <c:dPt>
            <c:idx val="10"/>
            <c:invertIfNegative val="0"/>
            <c:bubble3D val="0"/>
            <c:spPr>
              <a:solidFill>
                <a:srgbClr val="002060"/>
              </a:solidFill>
              <a:ln>
                <a:noFill/>
              </a:ln>
              <a:effectLst/>
            </c:spPr>
            <c:extLst>
              <c:ext xmlns:c16="http://schemas.microsoft.com/office/drawing/2014/chart" uri="{C3380CC4-5D6E-409C-BE32-E72D297353CC}">
                <c16:uniqueId val="{0000006D-54FE-47F4-B19D-205FCBA1DE96}"/>
              </c:ext>
            </c:extLst>
          </c:dPt>
          <c:dPt>
            <c:idx val="13"/>
            <c:invertIfNegative val="0"/>
            <c:bubble3D val="0"/>
            <c:spPr>
              <a:solidFill>
                <a:srgbClr val="B2126D"/>
              </a:solidFill>
              <a:ln>
                <a:noFill/>
              </a:ln>
              <a:effectLst/>
            </c:spPr>
            <c:extLst>
              <c:ext xmlns:c16="http://schemas.microsoft.com/office/drawing/2014/chart" uri="{C3380CC4-5D6E-409C-BE32-E72D297353CC}">
                <c16:uniqueId val="{0000006F-54FE-47F4-B19D-205FCBA1DE96}"/>
              </c:ext>
            </c:extLst>
          </c:dPt>
          <c:dPt>
            <c:idx val="14"/>
            <c:invertIfNegative val="0"/>
            <c:bubble3D val="0"/>
            <c:spPr>
              <a:solidFill>
                <a:srgbClr val="002060"/>
              </a:solidFill>
              <a:ln>
                <a:noFill/>
              </a:ln>
              <a:effectLst/>
            </c:spPr>
            <c:extLst>
              <c:ext xmlns:c16="http://schemas.microsoft.com/office/drawing/2014/chart" uri="{C3380CC4-5D6E-409C-BE32-E72D297353CC}">
                <c16:uniqueId val="{00000071-54FE-47F4-B19D-205FCBA1DE96}"/>
              </c:ext>
            </c:extLst>
          </c:dPt>
          <c:dPt>
            <c:idx val="17"/>
            <c:invertIfNegative val="0"/>
            <c:bubble3D val="0"/>
            <c:spPr>
              <a:solidFill>
                <a:srgbClr val="B2126D"/>
              </a:solidFill>
              <a:ln>
                <a:noFill/>
              </a:ln>
              <a:effectLst/>
            </c:spPr>
            <c:extLst>
              <c:ext xmlns:c16="http://schemas.microsoft.com/office/drawing/2014/chart" uri="{C3380CC4-5D6E-409C-BE32-E72D297353CC}">
                <c16:uniqueId val="{00000073-54FE-47F4-B19D-205FCBA1DE96}"/>
              </c:ext>
            </c:extLst>
          </c:dPt>
          <c:dPt>
            <c:idx val="18"/>
            <c:invertIfNegative val="0"/>
            <c:bubble3D val="0"/>
            <c:spPr>
              <a:solidFill>
                <a:srgbClr val="002060"/>
              </a:solidFill>
              <a:ln>
                <a:noFill/>
              </a:ln>
              <a:effectLst/>
            </c:spPr>
            <c:extLst>
              <c:ext xmlns:c16="http://schemas.microsoft.com/office/drawing/2014/chart" uri="{C3380CC4-5D6E-409C-BE32-E72D297353CC}">
                <c16:uniqueId val="{00000075-54FE-47F4-B19D-205FCBA1DE96}"/>
              </c:ext>
            </c:extLst>
          </c:dPt>
          <c:dPt>
            <c:idx val="21"/>
            <c:invertIfNegative val="0"/>
            <c:bubble3D val="0"/>
            <c:spPr>
              <a:solidFill>
                <a:srgbClr val="B2126D"/>
              </a:solidFill>
              <a:ln>
                <a:noFill/>
              </a:ln>
              <a:effectLst/>
            </c:spPr>
            <c:extLst>
              <c:ext xmlns:c16="http://schemas.microsoft.com/office/drawing/2014/chart" uri="{C3380CC4-5D6E-409C-BE32-E72D297353CC}">
                <c16:uniqueId val="{00000077-54FE-47F4-B19D-205FCBA1DE96}"/>
              </c:ext>
            </c:extLst>
          </c:dPt>
          <c:dPt>
            <c:idx val="22"/>
            <c:invertIfNegative val="0"/>
            <c:bubble3D val="0"/>
            <c:spPr>
              <a:solidFill>
                <a:srgbClr val="002060"/>
              </a:solidFill>
              <a:ln>
                <a:noFill/>
              </a:ln>
              <a:effectLst/>
            </c:spPr>
            <c:extLst>
              <c:ext xmlns:c16="http://schemas.microsoft.com/office/drawing/2014/chart" uri="{C3380CC4-5D6E-409C-BE32-E72D297353CC}">
                <c16:uniqueId val="{00000079-54FE-47F4-B19D-205FCBA1DE96}"/>
              </c:ext>
            </c:extLst>
          </c:dPt>
          <c:dPt>
            <c:idx val="25"/>
            <c:invertIfNegative val="0"/>
            <c:bubble3D val="0"/>
            <c:spPr>
              <a:solidFill>
                <a:srgbClr val="B2126D"/>
              </a:solidFill>
              <a:ln>
                <a:noFill/>
              </a:ln>
              <a:effectLst/>
            </c:spPr>
            <c:extLst>
              <c:ext xmlns:c16="http://schemas.microsoft.com/office/drawing/2014/chart" uri="{C3380CC4-5D6E-409C-BE32-E72D297353CC}">
                <c16:uniqueId val="{0000007B-54FE-47F4-B19D-205FCBA1DE96}"/>
              </c:ext>
            </c:extLst>
          </c:dPt>
          <c:dPt>
            <c:idx val="26"/>
            <c:invertIfNegative val="0"/>
            <c:bubble3D val="0"/>
            <c:spPr>
              <a:solidFill>
                <a:srgbClr val="002060"/>
              </a:solidFill>
              <a:ln>
                <a:noFill/>
              </a:ln>
              <a:effectLst/>
            </c:spPr>
            <c:extLst>
              <c:ext xmlns:c16="http://schemas.microsoft.com/office/drawing/2014/chart" uri="{C3380CC4-5D6E-409C-BE32-E72D297353CC}">
                <c16:uniqueId val="{0000007D-54FE-47F4-B19D-205FCBA1DE96}"/>
              </c:ext>
            </c:extLst>
          </c:dPt>
          <c:dPt>
            <c:idx val="29"/>
            <c:invertIfNegative val="0"/>
            <c:bubble3D val="0"/>
            <c:spPr>
              <a:solidFill>
                <a:srgbClr val="B2126D"/>
              </a:solidFill>
              <a:ln>
                <a:noFill/>
              </a:ln>
              <a:effectLst/>
            </c:spPr>
            <c:extLst>
              <c:ext xmlns:c16="http://schemas.microsoft.com/office/drawing/2014/chart" uri="{C3380CC4-5D6E-409C-BE32-E72D297353CC}">
                <c16:uniqueId val="{0000007F-54FE-47F4-B19D-205FCBA1DE96}"/>
              </c:ext>
            </c:extLst>
          </c:dPt>
          <c:dPt>
            <c:idx val="30"/>
            <c:invertIfNegative val="0"/>
            <c:bubble3D val="0"/>
            <c:spPr>
              <a:solidFill>
                <a:srgbClr val="002060"/>
              </a:solidFill>
              <a:ln>
                <a:noFill/>
              </a:ln>
              <a:effectLst/>
            </c:spPr>
            <c:extLst>
              <c:ext xmlns:c16="http://schemas.microsoft.com/office/drawing/2014/chart" uri="{C3380CC4-5D6E-409C-BE32-E72D297353CC}">
                <c16:uniqueId val="{00000081-54FE-47F4-B19D-205FCBA1DE96}"/>
              </c:ext>
            </c:extLst>
          </c:dPt>
          <c:dPt>
            <c:idx val="33"/>
            <c:invertIfNegative val="0"/>
            <c:bubble3D val="0"/>
            <c:spPr>
              <a:solidFill>
                <a:srgbClr val="B2126D"/>
              </a:solidFill>
              <a:ln>
                <a:noFill/>
              </a:ln>
              <a:effectLst/>
            </c:spPr>
            <c:extLst>
              <c:ext xmlns:c16="http://schemas.microsoft.com/office/drawing/2014/chart" uri="{C3380CC4-5D6E-409C-BE32-E72D297353CC}">
                <c16:uniqueId val="{00000083-54FE-47F4-B19D-205FCBA1DE96}"/>
              </c:ext>
            </c:extLst>
          </c:dPt>
          <c:dPt>
            <c:idx val="34"/>
            <c:invertIfNegative val="0"/>
            <c:bubble3D val="0"/>
            <c:spPr>
              <a:solidFill>
                <a:srgbClr val="002060"/>
              </a:solidFill>
              <a:ln>
                <a:noFill/>
              </a:ln>
              <a:effectLst/>
            </c:spPr>
            <c:extLst>
              <c:ext xmlns:c16="http://schemas.microsoft.com/office/drawing/2014/chart" uri="{C3380CC4-5D6E-409C-BE32-E72D297353CC}">
                <c16:uniqueId val="{00000085-54FE-47F4-B19D-205FCBA1DE96}"/>
              </c:ext>
            </c:extLst>
          </c:dPt>
          <c:dPt>
            <c:idx val="37"/>
            <c:invertIfNegative val="0"/>
            <c:bubble3D val="0"/>
            <c:spPr>
              <a:solidFill>
                <a:srgbClr val="B2126D"/>
              </a:solidFill>
              <a:ln>
                <a:noFill/>
              </a:ln>
              <a:effectLst/>
            </c:spPr>
            <c:extLst>
              <c:ext xmlns:c16="http://schemas.microsoft.com/office/drawing/2014/chart" uri="{C3380CC4-5D6E-409C-BE32-E72D297353CC}">
                <c16:uniqueId val="{00000087-54FE-47F4-B19D-205FCBA1DE96}"/>
              </c:ext>
            </c:extLst>
          </c:dPt>
          <c:dPt>
            <c:idx val="38"/>
            <c:invertIfNegative val="0"/>
            <c:bubble3D val="0"/>
            <c:spPr>
              <a:solidFill>
                <a:srgbClr val="002060"/>
              </a:solidFill>
              <a:ln>
                <a:noFill/>
              </a:ln>
              <a:effectLst/>
            </c:spPr>
            <c:extLst>
              <c:ext xmlns:c16="http://schemas.microsoft.com/office/drawing/2014/chart" uri="{C3380CC4-5D6E-409C-BE32-E72D297353CC}">
                <c16:uniqueId val="{00000089-54FE-47F4-B19D-205FCBA1DE96}"/>
              </c:ext>
            </c:extLst>
          </c:dPt>
          <c:dPt>
            <c:idx val="41"/>
            <c:invertIfNegative val="0"/>
            <c:bubble3D val="0"/>
            <c:spPr>
              <a:solidFill>
                <a:srgbClr val="B2126D"/>
              </a:solidFill>
              <a:ln>
                <a:noFill/>
              </a:ln>
              <a:effectLst/>
            </c:spPr>
            <c:extLst>
              <c:ext xmlns:c16="http://schemas.microsoft.com/office/drawing/2014/chart" uri="{C3380CC4-5D6E-409C-BE32-E72D297353CC}">
                <c16:uniqueId val="{0000008B-54FE-47F4-B19D-205FCBA1DE96}"/>
              </c:ext>
            </c:extLst>
          </c:dPt>
          <c:dPt>
            <c:idx val="42"/>
            <c:invertIfNegative val="0"/>
            <c:bubble3D val="0"/>
            <c:spPr>
              <a:solidFill>
                <a:srgbClr val="002060"/>
              </a:solidFill>
              <a:ln>
                <a:noFill/>
              </a:ln>
              <a:effectLst/>
            </c:spPr>
            <c:extLst>
              <c:ext xmlns:c16="http://schemas.microsoft.com/office/drawing/2014/chart" uri="{C3380CC4-5D6E-409C-BE32-E72D297353CC}">
                <c16:uniqueId val="{0000008D-54FE-47F4-B19D-205FCBA1DE96}"/>
              </c:ext>
            </c:extLst>
          </c:dPt>
          <c:dPt>
            <c:idx val="45"/>
            <c:invertIfNegative val="0"/>
            <c:bubble3D val="0"/>
            <c:spPr>
              <a:solidFill>
                <a:srgbClr val="B2126D"/>
              </a:solidFill>
              <a:ln>
                <a:noFill/>
              </a:ln>
              <a:effectLst/>
            </c:spPr>
            <c:extLst>
              <c:ext xmlns:c16="http://schemas.microsoft.com/office/drawing/2014/chart" uri="{C3380CC4-5D6E-409C-BE32-E72D297353CC}">
                <c16:uniqueId val="{0000008F-54FE-47F4-B19D-205FCBA1DE96}"/>
              </c:ext>
            </c:extLst>
          </c:dPt>
          <c:dPt>
            <c:idx val="46"/>
            <c:invertIfNegative val="0"/>
            <c:bubble3D val="0"/>
            <c:spPr>
              <a:solidFill>
                <a:srgbClr val="002060"/>
              </a:solidFill>
              <a:ln>
                <a:noFill/>
              </a:ln>
              <a:effectLst/>
            </c:spPr>
            <c:extLst>
              <c:ext xmlns:c16="http://schemas.microsoft.com/office/drawing/2014/chart" uri="{C3380CC4-5D6E-409C-BE32-E72D297353CC}">
                <c16:uniqueId val="{00000091-54FE-47F4-B19D-205FCBA1DE96}"/>
              </c:ext>
            </c:extLst>
          </c:dPt>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Calculations!$O$55:$O$102</c:f>
              <c:numCache>
                <c:formatCode>_(* #,##0_);_(* \(#,##0\);_(* "-"??_);_(@_)</c:formatCode>
                <c:ptCount val="48"/>
                <c:pt idx="0">
                  <c:v>200</c:v>
                </c:pt>
                <c:pt idx="1">
                  <c:v>0</c:v>
                </c:pt>
                <c:pt idx="2">
                  <c:v>300</c:v>
                </c:pt>
                <c:pt idx="4">
                  <c:v>0</c:v>
                </c:pt>
                <c:pt idx="5">
                  <c:v>110</c:v>
                </c:pt>
                <c:pt idx="6">
                  <c:v>0</c:v>
                </c:pt>
                <c:pt idx="8">
                  <c:v>100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2-54FE-47F4-B19D-205FCBA1DE96}"/>
            </c:ext>
          </c:extLst>
        </c:ser>
        <c:ser>
          <c:idx val="3"/>
          <c:order val="3"/>
          <c:spPr>
            <a:solidFill>
              <a:srgbClr val="E0E0E0"/>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Calculations!$P$55:$P$102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3-54FE-47F4-B19D-205FCBA1DE96}"/>
            </c:ext>
          </c:extLst>
        </c:ser>
        <c:ser>
          <c:idx val="4"/>
          <c:order val="4"/>
          <c:spPr>
            <a:solidFill>
              <a:srgbClr val="F3F3F3"/>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Calculations!$Q$55:$Q$102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4-54FE-47F4-B19D-205FCBA1DE96}"/>
            </c:ext>
          </c:extLst>
        </c:ser>
        <c:ser>
          <c:idx val="5"/>
          <c:order val="5"/>
          <c:spPr>
            <a:solidFill>
              <a:srgbClr val="D3D3D3"/>
            </a:solidFill>
            <a:ln>
              <a:noFill/>
            </a:ln>
            <a:effectLst/>
          </c:spPr>
          <c:invertIfNegative val="0"/>
          <c:cat>
            <c:numRef>
              <c:f>Calculations!$D$55:$D$102</c:f>
              <c:numCache>
                <c:formatCode>mmm</c:formatCode>
                <c:ptCount val="48"/>
                <c:pt idx="0">
                  <c:v>45658</c:v>
                </c:pt>
                <c:pt idx="4">
                  <c:v>45689</c:v>
                </c:pt>
                <c:pt idx="8">
                  <c:v>45717</c:v>
                </c:pt>
                <c:pt idx="12">
                  <c:v>45748</c:v>
                </c:pt>
                <c:pt idx="16">
                  <c:v>45778</c:v>
                </c:pt>
                <c:pt idx="20">
                  <c:v>45809</c:v>
                </c:pt>
                <c:pt idx="24">
                  <c:v>45839</c:v>
                </c:pt>
                <c:pt idx="28">
                  <c:v>45870</c:v>
                </c:pt>
                <c:pt idx="32">
                  <c:v>45901</c:v>
                </c:pt>
                <c:pt idx="36">
                  <c:v>45931</c:v>
                </c:pt>
                <c:pt idx="40">
                  <c:v>45962</c:v>
                </c:pt>
                <c:pt idx="44">
                  <c:v>45992</c:v>
                </c:pt>
              </c:numCache>
            </c:numRef>
          </c:cat>
          <c:val>
            <c:numRef>
              <c:f>Calculations!$R$55:$R$102</c:f>
              <c:numCache>
                <c:formatCode>_(* #,##0_);_(* \(#,##0\);_(*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5-54FE-47F4-B19D-205FCBA1DE96}"/>
            </c:ext>
          </c:extLst>
        </c:ser>
        <c:dLbls>
          <c:showLegendKey val="0"/>
          <c:showVal val="0"/>
          <c:showCatName val="0"/>
          <c:showSerName val="0"/>
          <c:showPercent val="0"/>
          <c:showBubbleSize val="0"/>
        </c:dLbls>
        <c:gapWidth val="15"/>
        <c:overlap val="100"/>
        <c:axId val="1812859056"/>
        <c:axId val="1812863856"/>
      </c:barChart>
      <c:catAx>
        <c:axId val="1812859056"/>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lumMod val="65000"/>
                  </a:schemeClr>
                </a:solidFill>
                <a:latin typeface="+mn-lt"/>
                <a:ea typeface="+mn-ea"/>
                <a:cs typeface="+mn-cs"/>
              </a:defRPr>
            </a:pPr>
            <a:endParaRPr lang="en-US"/>
          </a:p>
        </c:txPr>
        <c:crossAx val="1812863856"/>
        <c:crosses val="autoZero"/>
        <c:auto val="0"/>
        <c:lblAlgn val="ctr"/>
        <c:lblOffset val="100"/>
        <c:noMultiLvlLbl val="0"/>
      </c:catAx>
      <c:valAx>
        <c:axId val="181286385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65000"/>
                  </a:schemeClr>
                </a:solidFill>
                <a:latin typeface="+mn-lt"/>
                <a:ea typeface="+mn-ea"/>
                <a:cs typeface="+mn-cs"/>
              </a:defRPr>
            </a:pPr>
            <a:endParaRPr lang="en-US"/>
          </a:p>
        </c:txPr>
        <c:crossAx val="1812859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clustered"/>
        <c:varyColors val="0"/>
        <c:ser>
          <c:idx val="0"/>
          <c:order val="0"/>
          <c:spPr>
            <a:solidFill>
              <a:schemeClr val="bg1">
                <a:lumMod val="85000"/>
              </a:schemeClr>
            </a:solidFill>
            <a:ln>
              <a:noFill/>
            </a:ln>
            <a:effectLst/>
          </c:spPr>
          <c:invertIfNegative val="0"/>
          <c:val>
            <c:numRef>
              <c:f>Calculations!$E$24</c:f>
              <c:numCache>
                <c:formatCode>0%</c:formatCode>
                <c:ptCount val="1"/>
                <c:pt idx="0">
                  <c:v>0.18082191780821918</c:v>
                </c:pt>
              </c:numCache>
            </c:numRef>
          </c:val>
          <c:extLst>
            <c:ext xmlns:c16="http://schemas.microsoft.com/office/drawing/2014/chart" uri="{C3380CC4-5D6E-409C-BE32-E72D297353CC}">
              <c16:uniqueId val="{00000000-7675-46C4-AC23-202E6AA9D8B0}"/>
            </c:ext>
          </c:extLst>
        </c:ser>
        <c:dLbls>
          <c:showLegendKey val="0"/>
          <c:showVal val="0"/>
          <c:showCatName val="0"/>
          <c:showSerName val="0"/>
          <c:showPercent val="0"/>
          <c:showBubbleSize val="0"/>
        </c:dLbls>
        <c:gapWidth val="0"/>
        <c:axId val="1422911040"/>
        <c:axId val="1422918720"/>
      </c:barChart>
      <c:catAx>
        <c:axId val="1422911040"/>
        <c:scaling>
          <c:orientation val="minMax"/>
        </c:scaling>
        <c:delete val="1"/>
        <c:axPos val="l"/>
        <c:majorTickMark val="none"/>
        <c:minorTickMark val="none"/>
        <c:tickLblPos val="nextTo"/>
        <c:crossAx val="1422918720"/>
        <c:crosses val="autoZero"/>
        <c:auto val="1"/>
        <c:lblAlgn val="ctr"/>
        <c:lblOffset val="100"/>
        <c:noMultiLvlLbl val="0"/>
      </c:catAx>
      <c:valAx>
        <c:axId val="1422918720"/>
        <c:scaling>
          <c:orientation val="minMax"/>
          <c:max val="1"/>
        </c:scaling>
        <c:delete val="1"/>
        <c:axPos val="b"/>
        <c:numFmt formatCode="0%" sourceLinked="1"/>
        <c:majorTickMark val="none"/>
        <c:minorTickMark val="none"/>
        <c:tickLblPos val="nextTo"/>
        <c:crossAx val="142291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Calculations!$E$49" lockText="1" noThreeD="1"/>
</file>

<file path=xl/ctrlProps/ctrlProp2.xml><?xml version="1.0" encoding="utf-8"?>
<formControlPr xmlns="http://schemas.microsoft.com/office/spreadsheetml/2009/9/main" objectType="CheckBox" checked="Checked" fmlaLink="Calculations!$E$50" lockText="1" noThreeD="1"/>
</file>

<file path=xl/ctrlProps/ctrlProp3.xml><?xml version="1.0" encoding="utf-8"?>
<formControlPr xmlns="http://schemas.microsoft.com/office/spreadsheetml/2009/9/main" objectType="CheckBox" checked="Checked" fmlaLink="Calculations!$E$51" lockText="1" noThreeD="1"/>
</file>

<file path=xl/ctrlProps/ctrlProp4.xml><?xml version="1.0" encoding="utf-8"?>
<formControlPr xmlns="http://schemas.microsoft.com/office/spreadsheetml/2009/9/main" objectType="CheckBox" checked="Checked" fmlaLink="Calculations!$E$52" lockText="1" noThreeD="1"/>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28575</xdr:colOff>
      <xdr:row>0</xdr:row>
      <xdr:rowOff>64770</xdr:rowOff>
    </xdr:from>
    <xdr:ext cx="1604010" cy="405432"/>
    <xdr:sp macro="" textlink="">
      <xdr:nvSpPr>
        <xdr:cNvPr id="3" name="TextBox 2">
          <a:extLst>
            <a:ext uri="{FF2B5EF4-FFF2-40B4-BE49-F238E27FC236}">
              <a16:creationId xmlns:a16="http://schemas.microsoft.com/office/drawing/2014/main" id="{86272C38-C143-B6A6-CF47-78E965DA8AF4}"/>
            </a:ext>
          </a:extLst>
        </xdr:cNvPr>
        <xdr:cNvSpPr txBox="1"/>
      </xdr:nvSpPr>
      <xdr:spPr>
        <a:xfrm>
          <a:off x="622935" y="64770"/>
          <a:ext cx="160401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r-Latn-RS" sz="2000" b="1">
              <a:solidFill>
                <a:schemeClr val="bg1"/>
              </a:solidFill>
            </a:rPr>
            <a:t>Settings</a:t>
          </a:r>
          <a:endParaRPr lang="en-US" sz="2000" b="1">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34290</xdr:colOff>
      <xdr:row>0</xdr:row>
      <xdr:rowOff>72390</xdr:rowOff>
    </xdr:from>
    <xdr:ext cx="3470910" cy="405432"/>
    <xdr:sp macro="" textlink="">
      <xdr:nvSpPr>
        <xdr:cNvPr id="2" name="TextBox 1">
          <a:extLst>
            <a:ext uri="{FF2B5EF4-FFF2-40B4-BE49-F238E27FC236}">
              <a16:creationId xmlns:a16="http://schemas.microsoft.com/office/drawing/2014/main" id="{E0103613-94E2-4B2E-8653-CF549F268B9D}"/>
            </a:ext>
          </a:extLst>
        </xdr:cNvPr>
        <xdr:cNvSpPr txBox="1"/>
      </xdr:nvSpPr>
      <xdr:spPr>
        <a:xfrm>
          <a:off x="462380" y="72390"/>
          <a:ext cx="347091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r-Latn-RS" sz="2000" b="1">
              <a:solidFill>
                <a:schemeClr val="bg1"/>
              </a:solidFill>
            </a:rPr>
            <a:t>Budget Planning</a:t>
          </a:r>
          <a:endParaRPr lang="en-US" sz="2000" b="1">
            <a:solidFill>
              <a:schemeClr val="bg1"/>
            </a:solidFill>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34289</xdr:colOff>
      <xdr:row>0</xdr:row>
      <xdr:rowOff>72390</xdr:rowOff>
    </xdr:from>
    <xdr:ext cx="2390775" cy="405432"/>
    <xdr:sp macro="" textlink="">
      <xdr:nvSpPr>
        <xdr:cNvPr id="2" name="TextBox 1">
          <a:extLst>
            <a:ext uri="{FF2B5EF4-FFF2-40B4-BE49-F238E27FC236}">
              <a16:creationId xmlns:a16="http://schemas.microsoft.com/office/drawing/2014/main" id="{86028330-197C-4501-8A97-620D5C279D9D}"/>
            </a:ext>
          </a:extLst>
        </xdr:cNvPr>
        <xdr:cNvSpPr txBox="1"/>
      </xdr:nvSpPr>
      <xdr:spPr>
        <a:xfrm>
          <a:off x="438149" y="72390"/>
          <a:ext cx="23907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r-Latn-RS" sz="2000" b="1">
              <a:solidFill>
                <a:schemeClr val="bg1"/>
              </a:solidFill>
            </a:rPr>
            <a:t>Budget</a:t>
          </a:r>
          <a:r>
            <a:rPr lang="sr-Latn-RS" sz="2000" b="1" baseline="0">
              <a:solidFill>
                <a:schemeClr val="bg1"/>
              </a:solidFill>
            </a:rPr>
            <a:t> Tracking</a:t>
          </a:r>
          <a:endParaRPr lang="en-US" sz="2000" b="1">
            <a:solidFill>
              <a:schemeClr val="bg1"/>
            </a:solidFill>
          </a:endParaRPr>
        </a:p>
      </xdr:txBody>
    </xdr:sp>
    <xdr:clientData/>
  </xdr:oneCellAnchor>
  <xdr:twoCellAnchor editAs="absolute">
    <xdr:from>
      <xdr:col>2</xdr:col>
      <xdr:colOff>400</xdr:colOff>
      <xdr:row>4</xdr:row>
      <xdr:rowOff>71989</xdr:rowOff>
    </xdr:from>
    <xdr:to>
      <xdr:col>3</xdr:col>
      <xdr:colOff>606492</xdr:colOff>
      <xdr:row>8</xdr:row>
      <xdr:rowOff>147688</xdr:rowOff>
    </xdr:to>
    <xdr:grpSp>
      <xdr:nvGrpSpPr>
        <xdr:cNvPr id="22" name="Group 21">
          <a:extLst>
            <a:ext uri="{FF2B5EF4-FFF2-40B4-BE49-F238E27FC236}">
              <a16:creationId xmlns:a16="http://schemas.microsoft.com/office/drawing/2014/main" id="{92C6D28A-04A2-FC82-4B04-7831C7C7BD71}"/>
            </a:ext>
          </a:extLst>
        </xdr:cNvPr>
        <xdr:cNvGrpSpPr/>
      </xdr:nvGrpSpPr>
      <xdr:grpSpPr>
        <a:xfrm>
          <a:off x="401453" y="778243"/>
          <a:ext cx="1279860" cy="845720"/>
          <a:chOff x="401453" y="862063"/>
          <a:chExt cx="1274145" cy="847725"/>
        </a:xfrm>
      </xdr:grpSpPr>
      <xdr:sp macro="" textlink="">
        <xdr:nvSpPr>
          <xdr:cNvPr id="3" name="Rectangle: Rounded Corners 2">
            <a:extLst>
              <a:ext uri="{FF2B5EF4-FFF2-40B4-BE49-F238E27FC236}">
                <a16:creationId xmlns:a16="http://schemas.microsoft.com/office/drawing/2014/main" id="{2E9EB6F3-DBCE-477D-C315-21A01ECA4D9A}"/>
              </a:ext>
            </a:extLst>
          </xdr:cNvPr>
          <xdr:cNvSpPr/>
        </xdr:nvSpPr>
        <xdr:spPr>
          <a:xfrm>
            <a:off x="401453" y="862063"/>
            <a:ext cx="1090464" cy="847725"/>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4EFC077E-87D7-E533-2EE6-EDE2E234572C}"/>
              </a:ext>
            </a:extLst>
          </xdr:cNvPr>
          <xdr:cNvSpPr txBox="1"/>
        </xdr:nvSpPr>
        <xdr:spPr>
          <a:xfrm>
            <a:off x="470536" y="939967"/>
            <a:ext cx="1205062" cy="277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a:t>Today's</a:t>
            </a:r>
            <a:r>
              <a:rPr lang="sr-Latn-RS" sz="1100" b="1" baseline="0"/>
              <a:t> Date:</a:t>
            </a:r>
            <a:endParaRPr lang="en-US" sz="1100" b="1"/>
          </a:p>
        </xdr:txBody>
      </xdr:sp>
      <xdr:sp macro="" textlink="Calculations!E8">
        <xdr:nvSpPr>
          <xdr:cNvPr id="6" name="TextBox 5">
            <a:extLst>
              <a:ext uri="{FF2B5EF4-FFF2-40B4-BE49-F238E27FC236}">
                <a16:creationId xmlns:a16="http://schemas.microsoft.com/office/drawing/2014/main" id="{254975E5-AAED-478C-A13A-A4E18A7F976F}"/>
              </a:ext>
            </a:extLst>
          </xdr:cNvPr>
          <xdr:cNvSpPr txBox="1"/>
        </xdr:nvSpPr>
        <xdr:spPr>
          <a:xfrm>
            <a:off x="470536" y="1244366"/>
            <a:ext cx="1205062" cy="273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476AB4-CFDB-4403-A36F-E248D8031DB9}" type="TxLink">
              <a:rPr lang="en-US" sz="1200" b="1" i="0" u="none" strike="noStrike">
                <a:solidFill>
                  <a:srgbClr val="000000"/>
                </a:solidFill>
                <a:latin typeface="Aptos Narrow"/>
              </a:rPr>
              <a:pPr/>
              <a:t>7-Mar-25</a:t>
            </a:fld>
            <a:endParaRPr lang="en-US" sz="1200" b="1"/>
          </a:p>
        </xdr:txBody>
      </xdr:sp>
    </xdr:grpSp>
    <xdr:clientData/>
  </xdr:twoCellAnchor>
  <xdr:twoCellAnchor editAs="absolute">
    <xdr:from>
      <xdr:col>3</xdr:col>
      <xdr:colOff>682491</xdr:colOff>
      <xdr:row>4</xdr:row>
      <xdr:rowOff>71989</xdr:rowOff>
    </xdr:from>
    <xdr:to>
      <xdr:col>5</xdr:col>
      <xdr:colOff>985877</xdr:colOff>
      <xdr:row>8</xdr:row>
      <xdr:rowOff>147688</xdr:rowOff>
    </xdr:to>
    <xdr:grpSp>
      <xdr:nvGrpSpPr>
        <xdr:cNvPr id="26" name="Group 25">
          <a:extLst>
            <a:ext uri="{FF2B5EF4-FFF2-40B4-BE49-F238E27FC236}">
              <a16:creationId xmlns:a16="http://schemas.microsoft.com/office/drawing/2014/main" id="{C419D5FF-2878-70D7-1003-11DA74C0F8C0}"/>
            </a:ext>
          </a:extLst>
        </xdr:cNvPr>
        <xdr:cNvGrpSpPr/>
      </xdr:nvGrpSpPr>
      <xdr:grpSpPr>
        <a:xfrm>
          <a:off x="1757312" y="778243"/>
          <a:ext cx="2509176" cy="845720"/>
          <a:chOff x="1753502" y="862063"/>
          <a:chExt cx="2499761" cy="847725"/>
        </a:xfrm>
      </xdr:grpSpPr>
      <xdr:sp macro="" textlink="">
        <xdr:nvSpPr>
          <xdr:cNvPr id="7" name="Rectangle: Rounded Corners 6">
            <a:extLst>
              <a:ext uri="{FF2B5EF4-FFF2-40B4-BE49-F238E27FC236}">
                <a16:creationId xmlns:a16="http://schemas.microsoft.com/office/drawing/2014/main" id="{C55845A4-2023-4D27-A2E0-F540084DFD5A}"/>
              </a:ext>
            </a:extLst>
          </xdr:cNvPr>
          <xdr:cNvSpPr/>
        </xdr:nvSpPr>
        <xdr:spPr>
          <a:xfrm>
            <a:off x="1753502" y="862063"/>
            <a:ext cx="1675298" cy="847725"/>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26C95177-D5F0-4FF1-A62C-2514E178FE9F}"/>
              </a:ext>
            </a:extLst>
          </xdr:cNvPr>
          <xdr:cNvSpPr txBox="1"/>
        </xdr:nvSpPr>
        <xdr:spPr>
          <a:xfrm>
            <a:off x="1801631" y="939967"/>
            <a:ext cx="1444589" cy="27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baseline="0"/>
              <a:t>Date of Last Record:</a:t>
            </a:r>
            <a:endParaRPr lang="en-US" sz="1100" b="1"/>
          </a:p>
        </xdr:txBody>
      </xdr:sp>
      <xdr:sp macro="" textlink="Calculations!E9">
        <xdr:nvSpPr>
          <xdr:cNvPr id="9" name="TextBox 8">
            <a:extLst>
              <a:ext uri="{FF2B5EF4-FFF2-40B4-BE49-F238E27FC236}">
                <a16:creationId xmlns:a16="http://schemas.microsoft.com/office/drawing/2014/main" id="{D424838F-DB9B-4363-BB7E-16E5DC0F11D5}"/>
              </a:ext>
            </a:extLst>
          </xdr:cNvPr>
          <xdr:cNvSpPr txBox="1"/>
        </xdr:nvSpPr>
        <xdr:spPr>
          <a:xfrm>
            <a:off x="1801631" y="1270963"/>
            <a:ext cx="947531" cy="255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2C9398-88AF-4E29-B06D-87B2EFD1EE09}" type="TxLink">
              <a:rPr lang="en-US" sz="1200" b="1" i="0" u="none" strike="noStrike">
                <a:solidFill>
                  <a:srgbClr val="000000"/>
                </a:solidFill>
                <a:latin typeface="Aptos Narrow"/>
              </a:rPr>
              <a:pPr/>
              <a:t>15-Mar-25</a:t>
            </a:fld>
            <a:endParaRPr lang="en-US" sz="1400" b="1"/>
          </a:p>
        </xdr:txBody>
      </xdr:sp>
      <xdr:sp macro="" textlink="Calculations!E10">
        <xdr:nvSpPr>
          <xdr:cNvPr id="10" name="TextBox 9">
            <a:extLst>
              <a:ext uri="{FF2B5EF4-FFF2-40B4-BE49-F238E27FC236}">
                <a16:creationId xmlns:a16="http://schemas.microsoft.com/office/drawing/2014/main" id="{215B32EF-96E7-435A-B206-2389757AD052}"/>
              </a:ext>
            </a:extLst>
          </xdr:cNvPr>
          <xdr:cNvSpPr txBox="1"/>
        </xdr:nvSpPr>
        <xdr:spPr>
          <a:xfrm>
            <a:off x="2509986" y="1299603"/>
            <a:ext cx="1743277" cy="27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E20B3C-18A2-4C23-9663-2418427C8872}" type="TxLink">
              <a:rPr lang="en-US" sz="1050" b="0" i="0" u="none" strike="noStrike">
                <a:solidFill>
                  <a:srgbClr val="000000"/>
                </a:solidFill>
                <a:latin typeface="Aptos Narrow"/>
              </a:rPr>
              <a:pPr/>
              <a:t>(-8 days ago)</a:t>
            </a:fld>
            <a:endParaRPr lang="en-US" sz="1200" b="1"/>
          </a:p>
        </xdr:txBody>
      </xdr:sp>
    </xdr:grpSp>
    <xdr:clientData/>
  </xdr:twoCellAnchor>
  <xdr:twoCellAnchor editAs="absolute">
    <xdr:from>
      <xdr:col>5</xdr:col>
      <xdr:colOff>414789</xdr:colOff>
      <xdr:row>4</xdr:row>
      <xdr:rowOff>71989</xdr:rowOff>
    </xdr:from>
    <xdr:to>
      <xdr:col>6</xdr:col>
      <xdr:colOff>1639404</xdr:colOff>
      <xdr:row>8</xdr:row>
      <xdr:rowOff>147688</xdr:rowOff>
    </xdr:to>
    <xdr:grpSp>
      <xdr:nvGrpSpPr>
        <xdr:cNvPr id="29" name="Group 28">
          <a:extLst>
            <a:ext uri="{FF2B5EF4-FFF2-40B4-BE49-F238E27FC236}">
              <a16:creationId xmlns:a16="http://schemas.microsoft.com/office/drawing/2014/main" id="{E53C4A96-38D5-394E-9D63-DF7E2C53F5B9}"/>
            </a:ext>
          </a:extLst>
        </xdr:cNvPr>
        <xdr:cNvGrpSpPr/>
      </xdr:nvGrpSpPr>
      <xdr:grpSpPr>
        <a:xfrm>
          <a:off x="3695400" y="778243"/>
          <a:ext cx="2315478" cy="845720"/>
          <a:chOff x="3695400" y="862063"/>
          <a:chExt cx="2315478" cy="847725"/>
        </a:xfrm>
      </xdr:grpSpPr>
      <xdr:sp macro="" textlink="">
        <xdr:nvSpPr>
          <xdr:cNvPr id="13" name="Rectangle: Rounded Corners 12">
            <a:extLst>
              <a:ext uri="{FF2B5EF4-FFF2-40B4-BE49-F238E27FC236}">
                <a16:creationId xmlns:a16="http://schemas.microsoft.com/office/drawing/2014/main" id="{85DB27E9-F62D-46DE-8415-DCE5E7F3E49B}"/>
              </a:ext>
            </a:extLst>
          </xdr:cNvPr>
          <xdr:cNvSpPr/>
        </xdr:nvSpPr>
        <xdr:spPr>
          <a:xfrm>
            <a:off x="3695400" y="862063"/>
            <a:ext cx="1669583" cy="847725"/>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53EAED9F-83C7-429D-9EB8-0C897104C29F}"/>
              </a:ext>
            </a:extLst>
          </xdr:cNvPr>
          <xdr:cNvSpPr txBox="1"/>
        </xdr:nvSpPr>
        <xdr:spPr>
          <a:xfrm>
            <a:off x="3768295" y="939967"/>
            <a:ext cx="1712391" cy="269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baseline="0"/>
              <a:t>N° of Tracked Records:</a:t>
            </a:r>
            <a:endParaRPr lang="en-US" sz="1100" b="1"/>
          </a:p>
        </xdr:txBody>
      </xdr:sp>
      <xdr:sp macro="" textlink="Calculations!E11">
        <xdr:nvSpPr>
          <xdr:cNvPr id="15" name="TextBox 14">
            <a:extLst>
              <a:ext uri="{FF2B5EF4-FFF2-40B4-BE49-F238E27FC236}">
                <a16:creationId xmlns:a16="http://schemas.microsoft.com/office/drawing/2014/main" id="{A6D62B56-F4FD-4512-9063-C0F456CE6522}"/>
              </a:ext>
            </a:extLst>
          </xdr:cNvPr>
          <xdr:cNvSpPr txBox="1"/>
        </xdr:nvSpPr>
        <xdr:spPr>
          <a:xfrm>
            <a:off x="3770200" y="1256046"/>
            <a:ext cx="720087" cy="269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607772-3C53-49C2-BF9C-4DCBB2733321}" type="TxLink">
              <a:rPr lang="en-US" sz="1200" b="1" i="0" u="none" strike="noStrike">
                <a:solidFill>
                  <a:srgbClr val="000000"/>
                </a:solidFill>
                <a:latin typeface="Aptos Narrow"/>
              </a:rPr>
              <a:pPr/>
              <a:t>59</a:t>
            </a:fld>
            <a:endParaRPr lang="en-US" sz="1600" b="1"/>
          </a:p>
        </xdr:txBody>
      </xdr:sp>
      <xdr:sp macro="" textlink="Calculations!E12">
        <xdr:nvSpPr>
          <xdr:cNvPr id="16" name="TextBox 15">
            <a:extLst>
              <a:ext uri="{FF2B5EF4-FFF2-40B4-BE49-F238E27FC236}">
                <a16:creationId xmlns:a16="http://schemas.microsoft.com/office/drawing/2014/main" id="{E4AB8627-6989-4C91-9A5A-AB3266DDD125}"/>
              </a:ext>
            </a:extLst>
          </xdr:cNvPr>
          <xdr:cNvSpPr txBox="1"/>
        </xdr:nvSpPr>
        <xdr:spPr>
          <a:xfrm>
            <a:off x="4275221" y="1269782"/>
            <a:ext cx="1735657" cy="263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245E4B-01B9-4D32-AA6D-4D1B85FEC749}" type="TxLink">
              <a:rPr lang="en-US" sz="1050" b="0" i="0" u="none" strike="noStrike">
                <a:solidFill>
                  <a:srgbClr val="000000"/>
                </a:solidFill>
                <a:latin typeface="Aptos Narrow"/>
              </a:rPr>
              <a:pPr/>
              <a:t>(58 this year)</a:t>
            </a:fld>
            <a:endParaRPr lang="en-US" sz="1100" b="0"/>
          </a:p>
        </xdr:txBody>
      </xdr:sp>
    </xdr:grpSp>
    <xdr:clientData/>
  </xdr:twoCellAnchor>
  <xdr:twoCellAnchor editAs="absolute">
    <xdr:from>
      <xdr:col>6</xdr:col>
      <xdr:colOff>1253190</xdr:colOff>
      <xdr:row>4</xdr:row>
      <xdr:rowOff>71989</xdr:rowOff>
    </xdr:from>
    <xdr:to>
      <xdr:col>8</xdr:col>
      <xdr:colOff>225693</xdr:colOff>
      <xdr:row>8</xdr:row>
      <xdr:rowOff>147688</xdr:rowOff>
    </xdr:to>
    <xdr:grpSp>
      <xdr:nvGrpSpPr>
        <xdr:cNvPr id="27" name="Group 26">
          <a:extLst>
            <a:ext uri="{FF2B5EF4-FFF2-40B4-BE49-F238E27FC236}">
              <a16:creationId xmlns:a16="http://schemas.microsoft.com/office/drawing/2014/main" id="{C7B566AB-2DC9-0AE3-9151-3FDD1C7F48F7}"/>
            </a:ext>
          </a:extLst>
        </xdr:cNvPr>
        <xdr:cNvGrpSpPr/>
      </xdr:nvGrpSpPr>
      <xdr:grpSpPr>
        <a:xfrm>
          <a:off x="5624664" y="778243"/>
          <a:ext cx="3368040" cy="845720"/>
          <a:chOff x="5624664" y="862062"/>
          <a:chExt cx="3360420" cy="847725"/>
        </a:xfrm>
      </xdr:grpSpPr>
      <xdr:sp macro="" textlink="">
        <xdr:nvSpPr>
          <xdr:cNvPr id="18" name="Rectangle: Rounded Corners 17">
            <a:extLst>
              <a:ext uri="{FF2B5EF4-FFF2-40B4-BE49-F238E27FC236}">
                <a16:creationId xmlns:a16="http://schemas.microsoft.com/office/drawing/2014/main" id="{5B29CBC1-9C3A-4967-941E-A85B4FAD864F}"/>
              </a:ext>
            </a:extLst>
          </xdr:cNvPr>
          <xdr:cNvSpPr/>
        </xdr:nvSpPr>
        <xdr:spPr>
          <a:xfrm>
            <a:off x="5624664" y="862062"/>
            <a:ext cx="3254641" cy="847725"/>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ED75C1A0-04B8-45B3-95FE-CD010CA502B5}"/>
              </a:ext>
            </a:extLst>
          </xdr:cNvPr>
          <xdr:cNvSpPr txBox="1"/>
        </xdr:nvSpPr>
        <xdr:spPr>
          <a:xfrm>
            <a:off x="5701369" y="939966"/>
            <a:ext cx="1714296" cy="269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baseline="0"/>
              <a:t>Total Tracking Balance:</a:t>
            </a:r>
            <a:endParaRPr lang="en-US" sz="1100" b="1"/>
          </a:p>
        </xdr:txBody>
      </xdr:sp>
      <xdr:sp macro="" textlink="Calculations!E13">
        <xdr:nvSpPr>
          <xdr:cNvPr id="20" name="TextBox 19">
            <a:extLst>
              <a:ext uri="{FF2B5EF4-FFF2-40B4-BE49-F238E27FC236}">
                <a16:creationId xmlns:a16="http://schemas.microsoft.com/office/drawing/2014/main" id="{EE9A891B-2919-4053-9C62-AA224E54C797}"/>
              </a:ext>
            </a:extLst>
          </xdr:cNvPr>
          <xdr:cNvSpPr txBox="1"/>
        </xdr:nvSpPr>
        <xdr:spPr>
          <a:xfrm>
            <a:off x="5701369" y="1252235"/>
            <a:ext cx="1531715" cy="271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D2D5C2-CDE0-4938-9B98-E90435DC5312}" type="TxLink">
              <a:rPr lang="en-US" sz="1200" b="1" i="0" u="none" strike="noStrike">
                <a:solidFill>
                  <a:srgbClr val="000000"/>
                </a:solidFill>
                <a:latin typeface="Aptos Narrow"/>
              </a:rPr>
              <a:pPr/>
              <a:t> 2,620 </a:t>
            </a:fld>
            <a:endParaRPr lang="en-US" sz="1800" b="1"/>
          </a:p>
        </xdr:txBody>
      </xdr:sp>
      <xdr:sp macro="" textlink="Calculations!E14">
        <xdr:nvSpPr>
          <xdr:cNvPr id="21" name="TextBox 20">
            <a:extLst>
              <a:ext uri="{FF2B5EF4-FFF2-40B4-BE49-F238E27FC236}">
                <a16:creationId xmlns:a16="http://schemas.microsoft.com/office/drawing/2014/main" id="{93036ACA-9CD3-416F-9AA3-40901ABAFE43}"/>
              </a:ext>
            </a:extLst>
          </xdr:cNvPr>
          <xdr:cNvSpPr txBox="1"/>
        </xdr:nvSpPr>
        <xdr:spPr>
          <a:xfrm>
            <a:off x="6573052" y="1262161"/>
            <a:ext cx="2412032" cy="269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844B8A-C7F2-403E-8033-8C49A59F2334}" type="TxLink">
              <a:rPr lang="en-US" sz="1050" b="0" i="0" u="none" strike="noStrike">
                <a:solidFill>
                  <a:srgbClr val="000000"/>
                </a:solidFill>
                <a:latin typeface="Aptos Narrow"/>
              </a:rPr>
              <a:pPr/>
              <a:t>of tracked income left to be allocated</a:t>
            </a:fld>
            <a:endParaRPr lang="en-US" sz="1050" b="0"/>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34289</xdr:colOff>
      <xdr:row>0</xdr:row>
      <xdr:rowOff>72390</xdr:rowOff>
    </xdr:from>
    <xdr:ext cx="2390775" cy="405432"/>
    <xdr:sp macro="" textlink="">
      <xdr:nvSpPr>
        <xdr:cNvPr id="2" name="TextBox 1">
          <a:extLst>
            <a:ext uri="{FF2B5EF4-FFF2-40B4-BE49-F238E27FC236}">
              <a16:creationId xmlns:a16="http://schemas.microsoft.com/office/drawing/2014/main" id="{EFD2B9B4-C1C8-4499-B37F-C5695D4635CC}"/>
            </a:ext>
          </a:extLst>
        </xdr:cNvPr>
        <xdr:cNvSpPr txBox="1"/>
      </xdr:nvSpPr>
      <xdr:spPr>
        <a:xfrm>
          <a:off x="438149" y="72390"/>
          <a:ext cx="23907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r-Latn-RS" sz="2000" b="1">
              <a:solidFill>
                <a:schemeClr val="bg1"/>
              </a:solidFill>
            </a:rPr>
            <a:t>Budget</a:t>
          </a:r>
          <a:r>
            <a:rPr lang="sr-Latn-RS" sz="2000" b="1" baseline="0">
              <a:solidFill>
                <a:schemeClr val="bg1"/>
              </a:solidFill>
            </a:rPr>
            <a:t> Dashboard</a:t>
          </a:r>
          <a:endParaRPr lang="en-US" sz="2000" b="1">
            <a:solidFill>
              <a:schemeClr val="bg1"/>
            </a:solidFill>
          </a:endParaRPr>
        </a:p>
      </xdr:txBody>
    </xdr:sp>
    <xdr:clientData/>
  </xdr:oneCellAnchor>
  <xdr:twoCellAnchor editAs="oneCell">
    <xdr:from>
      <xdr:col>31</xdr:col>
      <xdr:colOff>124616</xdr:colOff>
      <xdr:row>12</xdr:row>
      <xdr:rowOff>118924</xdr:rowOff>
    </xdr:from>
    <xdr:to>
      <xdr:col>35</xdr:col>
      <xdr:colOff>3808</xdr:colOff>
      <xdr:row>14</xdr:row>
      <xdr:rowOff>4751</xdr:rowOff>
    </xdr:to>
    <xdr:sp macro="" textlink="">
      <xdr:nvSpPr>
        <xdr:cNvPr id="3" name="TextBox 2">
          <a:extLst>
            <a:ext uri="{FF2B5EF4-FFF2-40B4-BE49-F238E27FC236}">
              <a16:creationId xmlns:a16="http://schemas.microsoft.com/office/drawing/2014/main" id="{390352A6-A304-321A-4605-0007BB5DBCB4}"/>
            </a:ext>
          </a:extLst>
        </xdr:cNvPr>
        <xdr:cNvSpPr txBox="1"/>
      </xdr:nvSpPr>
      <xdr:spPr>
        <a:xfrm>
          <a:off x="6032256" y="2344991"/>
          <a:ext cx="2918631" cy="262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a:solidFill>
                <a:srgbClr val="00B050"/>
              </a:solidFill>
            </a:rPr>
            <a:t>Income</a:t>
          </a:r>
          <a:r>
            <a:rPr lang="sr-Latn-RS" sz="1100" b="1"/>
            <a:t> Categories (Tracked)</a:t>
          </a:r>
          <a:endParaRPr lang="en-US" sz="1100" b="1"/>
        </a:p>
      </xdr:txBody>
    </xdr:sp>
    <xdr:clientData/>
  </xdr:twoCellAnchor>
  <xdr:twoCellAnchor editAs="oneCell">
    <xdr:from>
      <xdr:col>31</xdr:col>
      <xdr:colOff>94223</xdr:colOff>
      <xdr:row>14</xdr:row>
      <xdr:rowOff>59995</xdr:rowOff>
    </xdr:from>
    <xdr:to>
      <xdr:col>32</xdr:col>
      <xdr:colOff>795370</xdr:colOff>
      <xdr:row>22</xdr:row>
      <xdr:rowOff>187609</xdr:rowOff>
    </xdr:to>
    <xdr:graphicFrame macro="">
      <xdr:nvGraphicFramePr>
        <xdr:cNvPr id="4" name="Chart 3">
          <a:extLst>
            <a:ext uri="{FF2B5EF4-FFF2-40B4-BE49-F238E27FC236}">
              <a16:creationId xmlns:a16="http://schemas.microsoft.com/office/drawing/2014/main" id="{412C3C7D-485D-4A44-8F73-56B57F91D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31</xdr:col>
      <xdr:colOff>126521</xdr:colOff>
      <xdr:row>25</xdr:row>
      <xdr:rowOff>118924</xdr:rowOff>
    </xdr:from>
    <xdr:ext cx="2918631" cy="262547"/>
    <xdr:sp macro="" textlink="">
      <xdr:nvSpPr>
        <xdr:cNvPr id="6" name="TextBox 5">
          <a:extLst>
            <a:ext uri="{FF2B5EF4-FFF2-40B4-BE49-F238E27FC236}">
              <a16:creationId xmlns:a16="http://schemas.microsoft.com/office/drawing/2014/main" id="{99545FCA-BB00-4439-9D1D-81C518A93CB8}"/>
            </a:ext>
          </a:extLst>
        </xdr:cNvPr>
        <xdr:cNvSpPr txBox="1"/>
      </xdr:nvSpPr>
      <xdr:spPr>
        <a:xfrm>
          <a:off x="6032256" y="2344991"/>
          <a:ext cx="2918631" cy="262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a:solidFill>
                <a:srgbClr val="FF0180"/>
              </a:solidFill>
            </a:rPr>
            <a:t>Expenses</a:t>
          </a:r>
          <a:r>
            <a:rPr lang="sr-Latn-RS" sz="1100" b="1"/>
            <a:t> Categories (Tracked)</a:t>
          </a:r>
          <a:endParaRPr lang="en-US" sz="1100" b="1"/>
        </a:p>
      </xdr:txBody>
    </xdr:sp>
    <xdr:clientData/>
  </xdr:oneCellAnchor>
  <xdr:oneCellAnchor>
    <xdr:from>
      <xdr:col>31</xdr:col>
      <xdr:colOff>94223</xdr:colOff>
      <xdr:row>27</xdr:row>
      <xdr:rowOff>59995</xdr:rowOff>
    </xdr:from>
    <xdr:ext cx="1600093" cy="1613535"/>
    <xdr:graphicFrame macro="">
      <xdr:nvGraphicFramePr>
        <xdr:cNvPr id="7" name="Chart 6">
          <a:extLst>
            <a:ext uri="{FF2B5EF4-FFF2-40B4-BE49-F238E27FC236}">
              <a16:creationId xmlns:a16="http://schemas.microsoft.com/office/drawing/2014/main" id="{F6E26A48-F1B0-4EFF-A3E1-F044CA7C5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38</xdr:col>
      <xdr:colOff>124616</xdr:colOff>
      <xdr:row>25</xdr:row>
      <xdr:rowOff>118924</xdr:rowOff>
    </xdr:from>
    <xdr:ext cx="2918631" cy="262547"/>
    <xdr:sp macro="" textlink="">
      <xdr:nvSpPr>
        <xdr:cNvPr id="8" name="TextBox 7">
          <a:extLst>
            <a:ext uri="{FF2B5EF4-FFF2-40B4-BE49-F238E27FC236}">
              <a16:creationId xmlns:a16="http://schemas.microsoft.com/office/drawing/2014/main" id="{61951A9E-B96F-4C72-B1BB-317F1656B418}"/>
            </a:ext>
          </a:extLst>
        </xdr:cNvPr>
        <xdr:cNvSpPr txBox="1"/>
      </xdr:nvSpPr>
      <xdr:spPr>
        <a:xfrm>
          <a:off x="10270346" y="4793666"/>
          <a:ext cx="2918631" cy="262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a:solidFill>
                <a:schemeClr val="tx2">
                  <a:lumMod val="50000"/>
                  <a:lumOff val="50000"/>
                </a:schemeClr>
              </a:solidFill>
            </a:rPr>
            <a:t>Savings</a:t>
          </a:r>
          <a:r>
            <a:rPr lang="sr-Latn-RS" sz="1100" b="1"/>
            <a:t> Categories (Tracked)</a:t>
          </a:r>
          <a:endParaRPr lang="en-US" sz="1100" b="1"/>
        </a:p>
      </xdr:txBody>
    </xdr:sp>
    <xdr:clientData/>
  </xdr:oneCellAnchor>
  <xdr:oneCellAnchor>
    <xdr:from>
      <xdr:col>38</xdr:col>
      <xdr:colOff>94223</xdr:colOff>
      <xdr:row>27</xdr:row>
      <xdr:rowOff>59995</xdr:rowOff>
    </xdr:from>
    <xdr:ext cx="1600093" cy="1613535"/>
    <xdr:graphicFrame macro="">
      <xdr:nvGraphicFramePr>
        <xdr:cNvPr id="9" name="Chart 8">
          <a:extLst>
            <a:ext uri="{FF2B5EF4-FFF2-40B4-BE49-F238E27FC236}">
              <a16:creationId xmlns:a16="http://schemas.microsoft.com/office/drawing/2014/main" id="{5B842F59-262D-47BF-A5B5-3AAE1F635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oneCell">
    <xdr:from>
      <xdr:col>38</xdr:col>
      <xdr:colOff>124616</xdr:colOff>
      <xdr:row>12</xdr:row>
      <xdr:rowOff>118924</xdr:rowOff>
    </xdr:from>
    <xdr:to>
      <xdr:col>42</xdr:col>
      <xdr:colOff>3808</xdr:colOff>
      <xdr:row>14</xdr:row>
      <xdr:rowOff>4751</xdr:rowOff>
    </xdr:to>
    <xdr:sp macro="" textlink="">
      <xdr:nvSpPr>
        <xdr:cNvPr id="10" name="TextBox 9">
          <a:extLst>
            <a:ext uri="{FF2B5EF4-FFF2-40B4-BE49-F238E27FC236}">
              <a16:creationId xmlns:a16="http://schemas.microsoft.com/office/drawing/2014/main" id="{8BFBC201-FD47-4F23-8C81-C9CC7F649860}"/>
            </a:ext>
          </a:extLst>
        </xdr:cNvPr>
        <xdr:cNvSpPr txBox="1"/>
      </xdr:nvSpPr>
      <xdr:spPr>
        <a:xfrm>
          <a:off x="10270346" y="2344991"/>
          <a:ext cx="2920536" cy="262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a:t>Tracked (vs. Budget)</a:t>
          </a:r>
          <a:endParaRPr lang="en-US" sz="1100" b="1"/>
        </a:p>
      </xdr:txBody>
    </xdr:sp>
    <xdr:clientData/>
  </xdr:twoCellAnchor>
  <xdr:twoCellAnchor>
    <xdr:from>
      <xdr:col>38</xdr:col>
      <xdr:colOff>37175</xdr:colOff>
      <xdr:row>15</xdr:row>
      <xdr:rowOff>10469</xdr:rowOff>
    </xdr:from>
    <xdr:to>
      <xdr:col>44</xdr:col>
      <xdr:colOff>34585</xdr:colOff>
      <xdr:row>23</xdr:row>
      <xdr:rowOff>160943</xdr:rowOff>
    </xdr:to>
    <xdr:graphicFrame macro="">
      <xdr:nvGraphicFramePr>
        <xdr:cNvPr id="11" name="Chart 10">
          <a:extLst>
            <a:ext uri="{FF2B5EF4-FFF2-40B4-BE49-F238E27FC236}">
              <a16:creationId xmlns:a16="http://schemas.microsoft.com/office/drawing/2014/main" id="{EBBA046C-9050-4138-A9A7-2FD954CE8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40</xdr:col>
          <xdr:colOff>69158</xdr:colOff>
          <xdr:row>12</xdr:row>
          <xdr:rowOff>79989</xdr:rowOff>
        </xdr:from>
        <xdr:to>
          <xdr:col>42</xdr:col>
          <xdr:colOff>341723</xdr:colOff>
          <xdr:row>13</xdr:row>
          <xdr:rowOff>118088</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C257153F-6696-09B4-7647-96AC7399FC5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67253</xdr:colOff>
          <xdr:row>13</xdr:row>
          <xdr:rowOff>57106</xdr:rowOff>
        </xdr:from>
        <xdr:to>
          <xdr:col>42</xdr:col>
          <xdr:colOff>347438</xdr:colOff>
          <xdr:row>14</xdr:row>
          <xdr:rowOff>110446</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ADB3D895-F24D-AA1B-D21A-DC124A5D42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69158</xdr:colOff>
          <xdr:row>14</xdr:row>
          <xdr:rowOff>41888</xdr:rowOff>
        </xdr:from>
        <xdr:to>
          <xdr:col>42</xdr:col>
          <xdr:colOff>347438</xdr:colOff>
          <xdr:row>15</xdr:row>
          <xdr:rowOff>41888</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C3A92055-54BC-446B-A8A3-4251A39F43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754578</xdr:colOff>
          <xdr:row>13</xdr:row>
          <xdr:rowOff>71448</xdr:rowOff>
        </xdr:from>
        <xdr:to>
          <xdr:col>44</xdr:col>
          <xdr:colOff>186031</xdr:colOff>
          <xdr:row>14</xdr:row>
          <xdr:rowOff>109548</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1DA23678-1122-8F81-E7E8-5E4F6B96B8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Remaining Budget</a:t>
              </a:r>
            </a:p>
          </xdr:txBody>
        </xdr:sp>
        <xdr:clientData/>
      </xdr:twoCellAnchor>
    </mc:Choice>
    <mc:Fallback/>
  </mc:AlternateContent>
  <xdr:twoCellAnchor>
    <xdr:from>
      <xdr:col>40</xdr:col>
      <xdr:colOff>68495</xdr:colOff>
      <xdr:row>12</xdr:row>
      <xdr:rowOff>119866</xdr:rowOff>
    </xdr:from>
    <xdr:to>
      <xdr:col>43</xdr:col>
      <xdr:colOff>188359</xdr:colOff>
      <xdr:row>15</xdr:row>
      <xdr:rowOff>51371</xdr:rowOff>
    </xdr:to>
    <xdr:sp macro="" textlink="">
      <xdr:nvSpPr>
        <xdr:cNvPr id="12" name="Rectangle 11">
          <a:extLst>
            <a:ext uri="{FF2B5EF4-FFF2-40B4-BE49-F238E27FC236}">
              <a16:creationId xmlns:a16="http://schemas.microsoft.com/office/drawing/2014/main" id="{89E6C5AA-A83E-F87A-D197-4BBB1329192F}"/>
            </a:ext>
          </a:extLst>
        </xdr:cNvPr>
        <xdr:cNvSpPr/>
      </xdr:nvSpPr>
      <xdr:spPr>
        <a:xfrm>
          <a:off x="12080697" y="2345933"/>
          <a:ext cx="1875033" cy="496584"/>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4</xdr:row>
      <xdr:rowOff>73102</xdr:rowOff>
    </xdr:from>
    <xdr:to>
      <xdr:col>26</xdr:col>
      <xdr:colOff>154303</xdr:colOff>
      <xdr:row>8</xdr:row>
      <xdr:rowOff>149302</xdr:rowOff>
    </xdr:to>
    <xdr:grpSp>
      <xdr:nvGrpSpPr>
        <xdr:cNvPr id="19" name="Group 18">
          <a:extLst>
            <a:ext uri="{FF2B5EF4-FFF2-40B4-BE49-F238E27FC236}">
              <a16:creationId xmlns:a16="http://schemas.microsoft.com/office/drawing/2014/main" id="{1764DAE3-C548-5271-F76E-3F6191F7E8E2}"/>
            </a:ext>
          </a:extLst>
        </xdr:cNvPr>
        <xdr:cNvGrpSpPr/>
      </xdr:nvGrpSpPr>
      <xdr:grpSpPr>
        <a:xfrm>
          <a:off x="401484" y="785941"/>
          <a:ext cx="2653335" cy="830006"/>
          <a:chOff x="403860" y="789382"/>
          <a:chExt cx="2653663" cy="832485"/>
        </a:xfrm>
      </xdr:grpSpPr>
      <xdr:sp macro="" textlink="">
        <xdr:nvSpPr>
          <xdr:cNvPr id="14" name="Rectangle: Rounded Corners 13">
            <a:extLst>
              <a:ext uri="{FF2B5EF4-FFF2-40B4-BE49-F238E27FC236}">
                <a16:creationId xmlns:a16="http://schemas.microsoft.com/office/drawing/2014/main" id="{E9C0939A-6046-D470-6FD6-863EA2940865}"/>
              </a:ext>
            </a:extLst>
          </xdr:cNvPr>
          <xdr:cNvSpPr/>
        </xdr:nvSpPr>
        <xdr:spPr>
          <a:xfrm>
            <a:off x="403860" y="789382"/>
            <a:ext cx="2653663" cy="832485"/>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59F9E7AD-0122-A043-742B-01BE422D47EF}"/>
              </a:ext>
            </a:extLst>
          </xdr:cNvPr>
          <xdr:cNvSpPr txBox="1"/>
        </xdr:nvSpPr>
        <xdr:spPr>
          <a:xfrm>
            <a:off x="476098" y="864392"/>
            <a:ext cx="1493672" cy="27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a:t>Selected Year &amp; Period</a:t>
            </a:r>
            <a:endParaRPr lang="en-US" sz="1100" b="1"/>
          </a:p>
        </xdr:txBody>
      </xdr:sp>
      <xdr:sp macro="" textlink="selected_year">
        <xdr:nvSpPr>
          <xdr:cNvPr id="17" name="Rectangle: Rounded Corners 16">
            <a:extLst>
              <a:ext uri="{FF2B5EF4-FFF2-40B4-BE49-F238E27FC236}">
                <a16:creationId xmlns:a16="http://schemas.microsoft.com/office/drawing/2014/main" id="{6EF84A92-7E99-D433-8875-EE84668266FB}"/>
              </a:ext>
            </a:extLst>
          </xdr:cNvPr>
          <xdr:cNvSpPr/>
        </xdr:nvSpPr>
        <xdr:spPr>
          <a:xfrm>
            <a:off x="590547" y="1245870"/>
            <a:ext cx="641985" cy="228600"/>
          </a:xfrm>
          <a:prstGeom prst="roundRect">
            <a:avLst>
              <a:gd name="adj" fmla="val 50000"/>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1C1F46-143D-4881-8D2C-B8D270FFE173}" type="TxLink">
              <a:rPr lang="en-US" sz="1000" b="1" i="0" u="none" strike="noStrike">
                <a:solidFill>
                  <a:srgbClr val="000000"/>
                </a:solidFill>
                <a:latin typeface="Aptos Narrow"/>
              </a:rPr>
              <a:pPr algn="ctr"/>
              <a:t>2025</a:t>
            </a:fld>
            <a:endParaRPr lang="en-US" sz="1000" b="1"/>
          </a:p>
        </xdr:txBody>
      </xdr:sp>
      <xdr:sp macro="" textlink="selected_period_display">
        <xdr:nvSpPr>
          <xdr:cNvPr id="18" name="Rectangle: Rounded Corners 17">
            <a:extLst>
              <a:ext uri="{FF2B5EF4-FFF2-40B4-BE49-F238E27FC236}">
                <a16:creationId xmlns:a16="http://schemas.microsoft.com/office/drawing/2014/main" id="{90B9B1F8-68C2-4BBF-9436-F7B2C7510BB4}"/>
              </a:ext>
            </a:extLst>
          </xdr:cNvPr>
          <xdr:cNvSpPr/>
        </xdr:nvSpPr>
        <xdr:spPr>
          <a:xfrm>
            <a:off x="1352549" y="1245870"/>
            <a:ext cx="912495" cy="226695"/>
          </a:xfrm>
          <a:prstGeom prst="roundRect">
            <a:avLst>
              <a:gd name="adj" fmla="val 50000"/>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76E9D7-F2D8-4940-9594-8DCB69E5D6ED}" type="TxLink">
              <a:rPr lang="en-US" sz="1000" b="1" i="0" u="none" strike="noStrike">
                <a:solidFill>
                  <a:srgbClr val="000000"/>
                </a:solidFill>
                <a:latin typeface="Aptos Narrow"/>
              </a:rPr>
              <a:t>Total Year</a:t>
            </a:fld>
            <a:endParaRPr lang="en-US" sz="800" b="1"/>
          </a:p>
        </xdr:txBody>
      </xdr:sp>
    </xdr:grpSp>
    <xdr:clientData/>
  </xdr:twoCellAnchor>
  <xdr:twoCellAnchor>
    <xdr:from>
      <xdr:col>26</xdr:col>
      <xdr:colOff>262885</xdr:colOff>
      <xdr:row>4</xdr:row>
      <xdr:rowOff>73102</xdr:rowOff>
    </xdr:from>
    <xdr:to>
      <xdr:col>28</xdr:col>
      <xdr:colOff>491485</xdr:colOff>
      <xdr:row>8</xdr:row>
      <xdr:rowOff>149302</xdr:rowOff>
    </xdr:to>
    <xdr:grpSp>
      <xdr:nvGrpSpPr>
        <xdr:cNvPr id="26" name="Group 25">
          <a:extLst>
            <a:ext uri="{FF2B5EF4-FFF2-40B4-BE49-F238E27FC236}">
              <a16:creationId xmlns:a16="http://schemas.microsoft.com/office/drawing/2014/main" id="{D7E7403C-7E12-E513-8B42-CE2FE840D2B6}"/>
            </a:ext>
          </a:extLst>
        </xdr:cNvPr>
        <xdr:cNvGrpSpPr/>
      </xdr:nvGrpSpPr>
      <xdr:grpSpPr>
        <a:xfrm>
          <a:off x="3163401" y="785941"/>
          <a:ext cx="1474019" cy="830006"/>
          <a:chOff x="3402325" y="789381"/>
          <a:chExt cx="1470660" cy="838200"/>
        </a:xfrm>
      </xdr:grpSpPr>
      <xdr:sp macro="" textlink="">
        <xdr:nvSpPr>
          <xdr:cNvPr id="21" name="Rectangle: Rounded Corners 20">
            <a:extLst>
              <a:ext uri="{FF2B5EF4-FFF2-40B4-BE49-F238E27FC236}">
                <a16:creationId xmlns:a16="http://schemas.microsoft.com/office/drawing/2014/main" id="{CE823039-5B21-59DD-8802-9DF6630568A0}"/>
              </a:ext>
            </a:extLst>
          </xdr:cNvPr>
          <xdr:cNvSpPr/>
        </xdr:nvSpPr>
        <xdr:spPr>
          <a:xfrm>
            <a:off x="3402325" y="789381"/>
            <a:ext cx="1470660" cy="838200"/>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2DD1EC32-BD8C-8D55-0E74-1CDF0FA27381}"/>
              </a:ext>
            </a:extLst>
          </xdr:cNvPr>
          <xdr:cNvSpPr txBox="1"/>
        </xdr:nvSpPr>
        <xdr:spPr>
          <a:xfrm>
            <a:off x="3472032" y="866752"/>
            <a:ext cx="1286657" cy="271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a:t>Period Completed</a:t>
            </a:r>
            <a:endParaRPr lang="en-US" sz="1100" b="1"/>
          </a:p>
        </xdr:txBody>
      </xdr:sp>
      <xdr:graphicFrame macro="">
        <xdr:nvGraphicFramePr>
          <xdr:cNvPr id="25" name="Chart 24">
            <a:extLst>
              <a:ext uri="{FF2B5EF4-FFF2-40B4-BE49-F238E27FC236}">
                <a16:creationId xmlns:a16="http://schemas.microsoft.com/office/drawing/2014/main" id="{2DCB9187-F76A-49CC-9DD0-F1ED247FF6ED}"/>
              </a:ext>
            </a:extLst>
          </xdr:cNvPr>
          <xdr:cNvGraphicFramePr>
            <a:graphicFrameLocks/>
          </xdr:cNvGraphicFramePr>
        </xdr:nvGraphicFramePr>
        <xdr:xfrm>
          <a:off x="3783330" y="1177290"/>
          <a:ext cx="678180" cy="256205"/>
        </xdr:xfrm>
        <a:graphic>
          <a:graphicData uri="http://schemas.openxmlformats.org/drawingml/2006/chart">
            <c:chart xmlns:c="http://schemas.openxmlformats.org/drawingml/2006/chart" xmlns:r="http://schemas.openxmlformats.org/officeDocument/2006/relationships" r:id="rId5"/>
          </a:graphicData>
        </a:graphic>
      </xdr:graphicFrame>
      <xdr:sp macro="" textlink="Calculations!E24">
        <xdr:nvSpPr>
          <xdr:cNvPr id="23" name="TextBox 22">
            <a:extLst>
              <a:ext uri="{FF2B5EF4-FFF2-40B4-BE49-F238E27FC236}">
                <a16:creationId xmlns:a16="http://schemas.microsoft.com/office/drawing/2014/main" id="{FBCD6666-83EF-416C-2CBA-EB025E7F78AD}"/>
              </a:ext>
            </a:extLst>
          </xdr:cNvPr>
          <xdr:cNvSpPr txBox="1"/>
        </xdr:nvSpPr>
        <xdr:spPr>
          <a:xfrm>
            <a:off x="3780076" y="1169063"/>
            <a:ext cx="713252" cy="271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708C45-818B-47F0-9B9C-549BFDF7382A}" type="TxLink">
              <a:rPr lang="en-US" sz="1200" b="1" i="0" u="none" strike="noStrike">
                <a:solidFill>
                  <a:srgbClr val="000000"/>
                </a:solidFill>
                <a:latin typeface="Aptos Narrow"/>
              </a:rPr>
              <a:pPr algn="ctr"/>
              <a:t>18%</a:t>
            </a:fld>
            <a:endParaRPr lang="en-US" sz="1400" b="1"/>
          </a:p>
        </xdr:txBody>
      </xdr:sp>
    </xdr:grpSp>
    <xdr:clientData/>
  </xdr:twoCellAnchor>
  <xdr:twoCellAnchor>
    <xdr:from>
      <xdr:col>28</xdr:col>
      <xdr:colOff>609600</xdr:colOff>
      <xdr:row>4</xdr:row>
      <xdr:rowOff>73102</xdr:rowOff>
    </xdr:from>
    <xdr:to>
      <xdr:col>34</xdr:col>
      <xdr:colOff>120768</xdr:colOff>
      <xdr:row>8</xdr:row>
      <xdr:rowOff>149413</xdr:rowOff>
    </xdr:to>
    <xdr:grpSp>
      <xdr:nvGrpSpPr>
        <xdr:cNvPr id="32" name="Group 31">
          <a:extLst>
            <a:ext uri="{FF2B5EF4-FFF2-40B4-BE49-F238E27FC236}">
              <a16:creationId xmlns:a16="http://schemas.microsoft.com/office/drawing/2014/main" id="{914D15A2-2125-EC6F-860A-220543E48632}"/>
            </a:ext>
          </a:extLst>
        </xdr:cNvPr>
        <xdr:cNvGrpSpPr/>
      </xdr:nvGrpSpPr>
      <xdr:grpSpPr>
        <a:xfrm>
          <a:off x="4755535" y="785941"/>
          <a:ext cx="3237328" cy="830117"/>
          <a:chOff x="4775200" y="801235"/>
          <a:chExt cx="3263806" cy="855245"/>
        </a:xfrm>
      </xdr:grpSpPr>
      <xdr:sp macro="" textlink="">
        <xdr:nvSpPr>
          <xdr:cNvPr id="28" name="Rectangle: Rounded Corners 27">
            <a:extLst>
              <a:ext uri="{FF2B5EF4-FFF2-40B4-BE49-F238E27FC236}">
                <a16:creationId xmlns:a16="http://schemas.microsoft.com/office/drawing/2014/main" id="{F75E4ED0-28CB-68E9-CA7B-E598DC3B17BE}"/>
              </a:ext>
            </a:extLst>
          </xdr:cNvPr>
          <xdr:cNvSpPr/>
        </xdr:nvSpPr>
        <xdr:spPr>
          <a:xfrm>
            <a:off x="4775200" y="801235"/>
            <a:ext cx="3263806" cy="855245"/>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337091DF-9397-45BF-E70C-A8945E82DEE9}"/>
              </a:ext>
            </a:extLst>
          </xdr:cNvPr>
          <xdr:cNvSpPr txBox="1"/>
        </xdr:nvSpPr>
        <xdr:spPr>
          <a:xfrm>
            <a:off x="4852166" y="879655"/>
            <a:ext cx="1620178" cy="27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baseline="0"/>
              <a:t>Period Tracking Balance:</a:t>
            </a:r>
            <a:endParaRPr lang="en-US" sz="1100" b="1"/>
          </a:p>
        </xdr:txBody>
      </xdr:sp>
      <xdr:sp macro="" textlink="Calculations!E25">
        <xdr:nvSpPr>
          <xdr:cNvPr id="30" name="TextBox 29">
            <a:extLst>
              <a:ext uri="{FF2B5EF4-FFF2-40B4-BE49-F238E27FC236}">
                <a16:creationId xmlns:a16="http://schemas.microsoft.com/office/drawing/2014/main" id="{0B32C82C-C5C8-FD92-C0DC-F78C8E3F3DCB}"/>
              </a:ext>
            </a:extLst>
          </xdr:cNvPr>
          <xdr:cNvSpPr txBox="1"/>
        </xdr:nvSpPr>
        <xdr:spPr>
          <a:xfrm>
            <a:off x="4852166" y="1193992"/>
            <a:ext cx="1535020" cy="27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CC0D15-A097-4172-8378-7BEF30AF643D}" type="TxLink">
              <a:rPr lang="en-US" sz="1200" b="1" i="0" u="none" strike="noStrike">
                <a:solidFill>
                  <a:srgbClr val="000000"/>
                </a:solidFill>
                <a:latin typeface="Aptos Narrow"/>
              </a:rPr>
              <a:t> 2,620 </a:t>
            </a:fld>
            <a:endParaRPr lang="en-US" sz="2000" b="1"/>
          </a:p>
        </xdr:txBody>
      </xdr:sp>
      <xdr:sp macro="" textlink="Calculations!E26">
        <xdr:nvSpPr>
          <xdr:cNvPr id="31" name="TextBox 30">
            <a:extLst>
              <a:ext uri="{FF2B5EF4-FFF2-40B4-BE49-F238E27FC236}">
                <a16:creationId xmlns:a16="http://schemas.microsoft.com/office/drawing/2014/main" id="{98D087C3-556A-C217-1DB8-3D39844E0B64}"/>
              </a:ext>
            </a:extLst>
          </xdr:cNvPr>
          <xdr:cNvSpPr txBox="1"/>
        </xdr:nvSpPr>
        <xdr:spPr>
          <a:xfrm>
            <a:off x="5587748" y="1198269"/>
            <a:ext cx="2414521" cy="269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3ADCF5-3DB8-48D8-B337-5A5F18F683CD}" type="TxLink">
              <a:rPr lang="en-US" sz="1050" b="0" i="0" u="none" strike="noStrike">
                <a:solidFill>
                  <a:srgbClr val="000000"/>
                </a:solidFill>
                <a:latin typeface="Aptos Narrow"/>
              </a:rPr>
              <a:t>of tracked income left to be allocated</a:t>
            </a:fld>
            <a:endParaRPr lang="en-US" sz="1000" b="0"/>
          </a:p>
        </xdr:txBody>
      </xdr:sp>
    </xdr:grpSp>
    <xdr:clientData/>
  </xdr:twoCellAnchor>
  <xdr:twoCellAnchor>
    <xdr:from>
      <xdr:col>34</xdr:col>
      <xdr:colOff>256964</xdr:colOff>
      <xdr:row>4</xdr:row>
      <xdr:rowOff>73102</xdr:rowOff>
    </xdr:from>
    <xdr:to>
      <xdr:col>38</xdr:col>
      <xdr:colOff>567267</xdr:colOff>
      <xdr:row>8</xdr:row>
      <xdr:rowOff>149413</xdr:rowOff>
    </xdr:to>
    <xdr:grpSp>
      <xdr:nvGrpSpPr>
        <xdr:cNvPr id="39" name="Group 38">
          <a:extLst>
            <a:ext uri="{FF2B5EF4-FFF2-40B4-BE49-F238E27FC236}">
              <a16:creationId xmlns:a16="http://schemas.microsoft.com/office/drawing/2014/main" id="{B0EE8E36-BF8B-9E5F-8226-D66DE97C0DCD}"/>
            </a:ext>
          </a:extLst>
        </xdr:cNvPr>
        <xdr:cNvGrpSpPr/>
      </xdr:nvGrpSpPr>
      <xdr:grpSpPr>
        <a:xfrm>
          <a:off x="8132869" y="785941"/>
          <a:ext cx="2553430" cy="830117"/>
          <a:chOff x="8173297" y="801235"/>
          <a:chExt cx="2553970" cy="855245"/>
        </a:xfrm>
      </xdr:grpSpPr>
      <xdr:sp macro="" textlink="">
        <xdr:nvSpPr>
          <xdr:cNvPr id="34" name="Rectangle: Rounded Corners 33">
            <a:extLst>
              <a:ext uri="{FF2B5EF4-FFF2-40B4-BE49-F238E27FC236}">
                <a16:creationId xmlns:a16="http://schemas.microsoft.com/office/drawing/2014/main" id="{340DE220-AA11-C040-B467-76C861C455BF}"/>
              </a:ext>
            </a:extLst>
          </xdr:cNvPr>
          <xdr:cNvSpPr/>
        </xdr:nvSpPr>
        <xdr:spPr>
          <a:xfrm>
            <a:off x="8173297" y="801235"/>
            <a:ext cx="2553970" cy="855245"/>
          </a:xfrm>
          <a:prstGeom prst="roundRect">
            <a:avLst>
              <a:gd name="adj" fmla="val 5215"/>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D3DD1999-F445-A26F-DE94-F0883D52EE3E}"/>
              </a:ext>
            </a:extLst>
          </xdr:cNvPr>
          <xdr:cNvSpPr txBox="1"/>
        </xdr:nvSpPr>
        <xdr:spPr>
          <a:xfrm>
            <a:off x="8248313" y="879655"/>
            <a:ext cx="1621137" cy="27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100" b="1" baseline="0"/>
              <a:t>Period Savings Rate</a:t>
            </a:r>
            <a:endParaRPr lang="en-US" sz="1100" b="1"/>
          </a:p>
        </xdr:txBody>
      </xdr:sp>
      <xdr:sp macro="" textlink="Calculations!E27">
        <xdr:nvSpPr>
          <xdr:cNvPr id="36" name="TextBox 35">
            <a:extLst>
              <a:ext uri="{FF2B5EF4-FFF2-40B4-BE49-F238E27FC236}">
                <a16:creationId xmlns:a16="http://schemas.microsoft.com/office/drawing/2014/main" id="{70663223-4B13-513D-096C-F5725B03ECD5}"/>
              </a:ext>
            </a:extLst>
          </xdr:cNvPr>
          <xdr:cNvSpPr txBox="1"/>
        </xdr:nvSpPr>
        <xdr:spPr>
          <a:xfrm>
            <a:off x="9044593" y="1193992"/>
            <a:ext cx="699899" cy="273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7B7A89-8E28-4CE5-8D71-96623ED1C409}" type="TxLink">
              <a:rPr lang="en-US" sz="1200" b="1" i="0" u="none" strike="noStrike">
                <a:solidFill>
                  <a:schemeClr val="tx2">
                    <a:lumMod val="75000"/>
                    <a:lumOff val="25000"/>
                  </a:schemeClr>
                </a:solidFill>
                <a:latin typeface="Aptos Narrow"/>
              </a:rPr>
              <a:pPr algn="ctr"/>
              <a:t>22.7%</a:t>
            </a:fld>
            <a:endParaRPr lang="en-US" sz="2400" b="1">
              <a:solidFill>
                <a:schemeClr val="tx2">
                  <a:lumMod val="75000"/>
                  <a:lumOff val="25000"/>
                </a:schemeClr>
              </a:solidFill>
            </a:endParaRPr>
          </a:p>
        </xdr:txBody>
      </xdr:sp>
      <xdr:sp macro="" textlink="">
        <xdr:nvSpPr>
          <xdr:cNvPr id="37" name="TextBox 36">
            <a:extLst>
              <a:ext uri="{FF2B5EF4-FFF2-40B4-BE49-F238E27FC236}">
                <a16:creationId xmlns:a16="http://schemas.microsoft.com/office/drawing/2014/main" id="{7BE3495E-D4CC-3FF5-34AF-DFDD48EB1018}"/>
              </a:ext>
            </a:extLst>
          </xdr:cNvPr>
          <xdr:cNvSpPr txBox="1"/>
        </xdr:nvSpPr>
        <xdr:spPr>
          <a:xfrm>
            <a:off x="8255964" y="1198269"/>
            <a:ext cx="1049534" cy="271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050" b="0" i="0" u="none" strike="noStrike">
                <a:solidFill>
                  <a:srgbClr val="000000"/>
                </a:solidFill>
                <a:latin typeface="Aptos Narrow"/>
              </a:rPr>
              <a:t>You</a:t>
            </a:r>
            <a:r>
              <a:rPr lang="sr-Latn-RS" sz="1050" b="0" i="0" u="none" strike="noStrike" baseline="0">
                <a:solidFill>
                  <a:srgbClr val="000000"/>
                </a:solidFill>
                <a:latin typeface="Aptos Narrow"/>
              </a:rPr>
              <a:t> are saving</a:t>
            </a:r>
            <a:endParaRPr lang="en-US" sz="1050" b="0" i="0" u="none" strike="noStrike">
              <a:solidFill>
                <a:srgbClr val="000000"/>
              </a:solidFill>
              <a:latin typeface="Aptos Narrow"/>
            </a:endParaRPr>
          </a:p>
        </xdr:txBody>
      </xdr:sp>
      <xdr:sp macro="" textlink="">
        <xdr:nvSpPr>
          <xdr:cNvPr id="38" name="TextBox 37">
            <a:extLst>
              <a:ext uri="{FF2B5EF4-FFF2-40B4-BE49-F238E27FC236}">
                <a16:creationId xmlns:a16="http://schemas.microsoft.com/office/drawing/2014/main" id="{3025E71C-ECA3-4520-BAD9-0ED8FA814B5D}"/>
              </a:ext>
            </a:extLst>
          </xdr:cNvPr>
          <xdr:cNvSpPr txBox="1"/>
        </xdr:nvSpPr>
        <xdr:spPr>
          <a:xfrm>
            <a:off x="9546166" y="1198269"/>
            <a:ext cx="1051439" cy="271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r-Latn-RS" sz="1050" b="0" i="0" u="none" strike="noStrike">
                <a:solidFill>
                  <a:srgbClr val="000000"/>
                </a:solidFill>
                <a:latin typeface="Aptos Narrow"/>
              </a:rPr>
              <a:t>of your income</a:t>
            </a:r>
            <a:endParaRPr lang="en-US" sz="1050" b="0" i="0" u="none" strike="noStrike">
              <a:solidFill>
                <a:srgbClr val="000000"/>
              </a:solidFill>
              <a:latin typeface="Aptos Narrow"/>
            </a:endParaRPr>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34289</xdr:colOff>
      <xdr:row>0</xdr:row>
      <xdr:rowOff>72390</xdr:rowOff>
    </xdr:from>
    <xdr:ext cx="2390775" cy="405432"/>
    <xdr:sp macro="" textlink="">
      <xdr:nvSpPr>
        <xdr:cNvPr id="2" name="TextBox 1">
          <a:extLst>
            <a:ext uri="{FF2B5EF4-FFF2-40B4-BE49-F238E27FC236}">
              <a16:creationId xmlns:a16="http://schemas.microsoft.com/office/drawing/2014/main" id="{11167AA9-1688-4FDE-A008-8282718B040B}"/>
            </a:ext>
          </a:extLst>
        </xdr:cNvPr>
        <xdr:cNvSpPr txBox="1"/>
      </xdr:nvSpPr>
      <xdr:spPr>
        <a:xfrm>
          <a:off x="453389" y="72390"/>
          <a:ext cx="23907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r-Latn-RS" sz="2000" b="1">
              <a:solidFill>
                <a:schemeClr val="accent5">
                  <a:lumMod val="75000"/>
                </a:schemeClr>
              </a:solidFill>
            </a:rPr>
            <a:t>Calculations</a:t>
          </a:r>
          <a:endParaRPr lang="en-US" sz="2000" b="1">
            <a:solidFill>
              <a:schemeClr val="accent5">
                <a:lumMod val="75000"/>
              </a:schemeClr>
            </a:solidFill>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34289</xdr:colOff>
      <xdr:row>0</xdr:row>
      <xdr:rowOff>72390</xdr:rowOff>
    </xdr:from>
    <xdr:ext cx="2390775" cy="405432"/>
    <xdr:sp macro="" textlink="">
      <xdr:nvSpPr>
        <xdr:cNvPr id="2" name="TextBox 1">
          <a:extLst>
            <a:ext uri="{FF2B5EF4-FFF2-40B4-BE49-F238E27FC236}">
              <a16:creationId xmlns:a16="http://schemas.microsoft.com/office/drawing/2014/main" id="{40E6F529-41BD-4918-A023-59192B8FA4D5}"/>
            </a:ext>
          </a:extLst>
        </xdr:cNvPr>
        <xdr:cNvSpPr txBox="1"/>
      </xdr:nvSpPr>
      <xdr:spPr>
        <a:xfrm>
          <a:off x="438149" y="72390"/>
          <a:ext cx="239077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r-Latn-RS" sz="2000" b="1">
              <a:solidFill>
                <a:schemeClr val="accent5">
                  <a:lumMod val="75000"/>
                </a:schemeClr>
              </a:solidFill>
            </a:rPr>
            <a:t>Dropdown Data</a:t>
          </a:r>
          <a:endParaRPr lang="en-US" sz="2000" b="1">
            <a:solidFill>
              <a:schemeClr val="accent5">
                <a:lumMod val="75000"/>
              </a:schemeClr>
            </a:solidFill>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3C0F7B-C174-426B-8B75-CE8B81489A21}" name="Income" displayName="Income" ref="C9:C12" totalsRowShown="0" headerRowDxfId="54" dataDxfId="53">
  <autoFilter ref="C9:C12" xr:uid="{EC3C0F7B-C174-426B-8B75-CE8B81489A21}">
    <filterColumn colId="0" hiddenButton="1"/>
  </autoFilter>
  <tableColumns count="1">
    <tableColumn id="1" xr3:uid="{7C57A828-37F5-46B6-BA66-482CA35C84F6}" name="Income" dataDxfId="52"/>
  </tableColumns>
  <tableStyleInfo name="Income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EFF91E-FE4F-438F-B9AD-E2E3027A57D6}" name="Expenses" displayName="Expenses" ref="C22:C31" totalsRowShown="0" headerRowDxfId="51" dataDxfId="50">
  <autoFilter ref="C22:C31" xr:uid="{A4EFF91E-FE4F-438F-B9AD-E2E3027A57D6}">
    <filterColumn colId="0" hiddenButton="1"/>
  </autoFilter>
  <tableColumns count="1">
    <tableColumn id="1" xr3:uid="{C3922451-A1D2-4D9E-A7D4-A4187FFA5297}" name="Expenses" dataDxfId="49"/>
  </tableColumns>
  <tableStyleInfo name="Expenses Table Style "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6FB1BF-E72D-47C8-AA18-F51085F961E1}" name="Savings" displayName="Savings" ref="C38:C43" totalsRowShown="0" headerRowDxfId="48" dataDxfId="47">
  <autoFilter ref="C38:C43" xr:uid="{246FB1BF-E72D-47C8-AA18-F51085F961E1}">
    <filterColumn colId="0" hiddenButton="1"/>
  </autoFilter>
  <tableColumns count="1">
    <tableColumn id="1" xr3:uid="{D0967EF2-D00C-4929-A106-297663BED591}" name="Savings" dataDxfId="46"/>
  </tableColumns>
  <tableStyleInfo name="Savings Table Style "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A239AE-8009-46AF-89EE-D203A9B03842}" name="Tracking" displayName="Tracking" ref="C11:I70" totalsRowShown="0" headerRowDxfId="45" dataDxfId="44">
  <autoFilter ref="C11:I70" xr:uid="{94A239AE-8009-46AF-89EE-D203A9B03842}"/>
  <sortState xmlns:xlrd2="http://schemas.microsoft.com/office/spreadsheetml/2017/richdata2" ref="C12:I70">
    <sortCondition ref="C11:C70"/>
  </sortState>
  <tableColumns count="7">
    <tableColumn id="1" xr3:uid="{B397A3E1-BAD1-42C8-9FE0-03FD5F643223}" name="Date " dataDxfId="43"/>
    <tableColumn id="2" xr3:uid="{25D631EF-A132-4155-816A-4A29DDB05711}" name="Type" dataDxfId="42"/>
    <tableColumn id="3" xr3:uid="{FB83B7A8-FCAD-4B76-AFA2-86F08A0B7679}" name="Category" dataDxfId="4"/>
    <tableColumn id="4" xr3:uid="{654A590C-9294-4A48-AE9B-F8D4017A0048}" name="Amount" dataDxfId="3" dataCellStyle="Comma"/>
    <tableColumn id="5" xr3:uid="{C914B26A-6FA5-4688-88B2-957F46FC1D09}" name="Details" dataDxfId="2"/>
    <tableColumn id="6" xr3:uid="{95B748C9-8E52-431F-931C-1BF1051962F2}" name="Balance" dataDxfId="0" dataCellStyle="Comma">
      <calculatedColumnFormula array="1">SUMPRODUCT(Tracking[Amount], --(Tracking[[Date ]]&lt;=Tracking[[#This Row],[Date ]]), (Tracking[Type]&lt;&gt;"Income")*(-1) + (Tracking[Type]="Income"))</calculatedColumnFormula>
    </tableColumn>
    <tableColumn id="7" xr3:uid="{0B1B7970-1F86-4B04-8AC2-EDAADBE1FF6C}" name="Effective Date" dataDxfId="1">
      <calculatedColumnFormula>IF(AND(Tracking[[#This Row],[Type]]="Income", shift_late_income_status="Yes(Active)", DAY(Tracking[[#This Row],[Date ]])&gt;=shift_late_income_starting_day), DATE(YEAR(Tracking[[#This Row],[Date ]]), MONTH(Tracking[[#This Row],[Date ]])+1, 1), Tracking[[#This Row],[Date ]])</calculatedColumnFormula>
    </tableColumn>
  </tableColumns>
  <tableStyleInfo name="Tracking Table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4.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42EF-523B-47D2-BC0E-14314D4BB937}">
  <sheetPr>
    <tabColor theme="7"/>
  </sheetPr>
  <dimension ref="C1:H25"/>
  <sheetViews>
    <sheetView showGridLines="0" workbookViewId="0">
      <selection activeCell="I19" sqref="I19"/>
    </sheetView>
  </sheetViews>
  <sheetFormatPr defaultRowHeight="15" x14ac:dyDescent="0.25"/>
  <cols>
    <col min="1" max="1" width="5.7109375" customWidth="1"/>
    <col min="2" max="2" width="3.140625" customWidth="1"/>
    <col min="3" max="3" width="1.7109375" customWidth="1"/>
    <col min="4" max="4" width="29.7109375" customWidth="1"/>
    <col min="5" max="5" width="25.140625" customWidth="1"/>
    <col min="6" max="6" width="1.5703125" customWidth="1"/>
    <col min="7" max="7" width="72.7109375" customWidth="1"/>
    <col min="8" max="8" width="1.85546875" customWidth="1"/>
  </cols>
  <sheetData>
    <row r="1" spans="3:8" s="22" customFormat="1" ht="7.5" customHeight="1" x14ac:dyDescent="0.25"/>
    <row r="2" spans="3:8" s="22" customFormat="1" ht="25.5" customHeight="1" x14ac:dyDescent="0.25"/>
    <row r="3" spans="3:8" s="22" customFormat="1" ht="7.5" customHeight="1" x14ac:dyDescent="0.25"/>
    <row r="6" spans="3:8" x14ac:dyDescent="0.25">
      <c r="C6" s="60" t="s">
        <v>0</v>
      </c>
      <c r="D6" s="60"/>
      <c r="E6" s="60"/>
      <c r="F6" s="60"/>
      <c r="G6" s="60"/>
      <c r="H6" s="60"/>
    </row>
    <row r="7" spans="3:8" x14ac:dyDescent="0.25">
      <c r="C7" s="4"/>
      <c r="H7" s="5"/>
    </row>
    <row r="8" spans="3:8" x14ac:dyDescent="0.25">
      <c r="C8" s="4"/>
      <c r="D8" s="8" t="s">
        <v>1</v>
      </c>
      <c r="E8" s="3">
        <v>2025</v>
      </c>
      <c r="G8" s="9" t="s">
        <v>2</v>
      </c>
      <c r="H8" s="5"/>
    </row>
    <row r="9" spans="3:8" x14ac:dyDescent="0.25">
      <c r="C9" s="6"/>
      <c r="D9" s="2"/>
      <c r="E9" s="2"/>
      <c r="F9" s="2"/>
      <c r="G9" s="2"/>
      <c r="H9" s="7"/>
    </row>
    <row r="12" spans="3:8" x14ac:dyDescent="0.25">
      <c r="C12" s="60" t="s">
        <v>36</v>
      </c>
      <c r="D12" s="60"/>
      <c r="E12" s="60"/>
      <c r="F12" s="60"/>
      <c r="G12" s="60"/>
      <c r="H12" s="60"/>
    </row>
    <row r="13" spans="3:8" x14ac:dyDescent="0.25">
      <c r="C13" s="4"/>
      <c r="H13" s="5"/>
    </row>
    <row r="14" spans="3:8" ht="15.75" x14ac:dyDescent="0.25">
      <c r="C14" s="4"/>
      <c r="D14" s="29" t="s">
        <v>37</v>
      </c>
      <c r="H14" s="5"/>
    </row>
    <row r="15" spans="3:8" x14ac:dyDescent="0.25">
      <c r="C15" s="4"/>
      <c r="H15" s="5"/>
    </row>
    <row r="16" spans="3:8" x14ac:dyDescent="0.25">
      <c r="C16" s="4"/>
      <c r="D16" s="11" t="s">
        <v>38</v>
      </c>
      <c r="E16" s="3" t="s">
        <v>39</v>
      </c>
      <c r="G16" s="61" t="s">
        <v>41</v>
      </c>
      <c r="H16" s="5"/>
    </row>
    <row r="17" spans="3:8" ht="6.75" customHeight="1" x14ac:dyDescent="0.25">
      <c r="C17" s="4"/>
      <c r="G17" s="61"/>
      <c r="H17" s="5"/>
    </row>
    <row r="18" spans="3:8" x14ac:dyDescent="0.25">
      <c r="C18" s="4"/>
      <c r="D18" s="11" t="s">
        <v>40</v>
      </c>
      <c r="E18" s="3">
        <v>20</v>
      </c>
      <c r="G18" s="61"/>
      <c r="H18" s="5"/>
    </row>
    <row r="19" spans="3:8" x14ac:dyDescent="0.25">
      <c r="C19" s="4"/>
      <c r="H19" s="5"/>
    </row>
    <row r="20" spans="3:8" ht="15.75" x14ac:dyDescent="0.25">
      <c r="C20" s="4"/>
      <c r="D20" s="29" t="s">
        <v>108</v>
      </c>
      <c r="H20" s="5"/>
    </row>
    <row r="21" spans="3:8" x14ac:dyDescent="0.25">
      <c r="C21" s="4"/>
      <c r="H21" s="5"/>
    </row>
    <row r="22" spans="3:8" x14ac:dyDescent="0.25">
      <c r="C22" s="4"/>
      <c r="D22" s="11" t="s">
        <v>109</v>
      </c>
      <c r="E22" s="3" t="s">
        <v>110</v>
      </c>
      <c r="G22" s="100" t="s">
        <v>111</v>
      </c>
      <c r="H22" s="5"/>
    </row>
    <row r="23" spans="3:8" x14ac:dyDescent="0.25">
      <c r="C23" s="4"/>
      <c r="G23" s="100" t="s">
        <v>112</v>
      </c>
      <c r="H23" s="5"/>
    </row>
    <row r="24" spans="3:8" x14ac:dyDescent="0.25">
      <c r="C24" s="4"/>
      <c r="G24" s="100" t="s">
        <v>113</v>
      </c>
      <c r="H24" s="5"/>
    </row>
    <row r="25" spans="3:8" x14ac:dyDescent="0.25">
      <c r="C25" s="6"/>
      <c r="D25" s="2"/>
      <c r="E25" s="2"/>
      <c r="F25" s="2"/>
      <c r="G25" s="2"/>
      <c r="H25" s="7"/>
    </row>
  </sheetData>
  <mergeCells count="3">
    <mergeCell ref="C6:H6"/>
    <mergeCell ref="C12:H12"/>
    <mergeCell ref="G16:G18"/>
  </mergeCells>
  <conditionalFormatting sqref="E18">
    <cfRule type="expression" dxfId="41" priority="1">
      <formula>shift_late_income_status="No(Inactive)"</formula>
    </cfRule>
  </conditionalFormatting>
  <dataValidations count="2">
    <dataValidation type="list" allowBlank="1" showInputMessage="1" showErrorMessage="1" sqref="E16" xr:uid="{A2C104C6-B8E8-414D-9A3A-A4A3BA7012A0}">
      <formula1>"Yes(Active), No(Inactive)"</formula1>
    </dataValidation>
    <dataValidation type="list" allowBlank="1" showInputMessage="1" showErrorMessage="1" sqref="E22" xr:uid="{BBBFA722-8F9C-455A-83A8-C6A6DEAFB9FB}">
      <formula1>"% allocated to Savings, % NOT allocated to Expenses"</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A05B4-313D-4920-A67D-9E7DB740021B}">
  <sheetPr>
    <tabColor theme="8" tint="0.39997558519241921"/>
  </sheetPr>
  <dimension ref="C1:FA49"/>
  <sheetViews>
    <sheetView showGridLines="0" topLeftCell="A3" zoomScale="79" workbookViewId="0">
      <pane xSplit="4" topLeftCell="E1" activePane="topRight" state="frozen"/>
      <selection pane="topRight" activeCell="FE22" sqref="FE22"/>
    </sheetView>
  </sheetViews>
  <sheetFormatPr defaultRowHeight="15" outlineLevelCol="1" x14ac:dyDescent="0.25"/>
  <cols>
    <col min="1" max="1" width="4.7109375" customWidth="1"/>
    <col min="2" max="2" width="1.85546875" customWidth="1"/>
    <col min="3" max="3" width="29.7109375" customWidth="1"/>
    <col min="4" max="4" width="1.140625" customWidth="1"/>
    <col min="5" max="13" width="9.140625" customWidth="1" outlineLevel="1"/>
    <col min="14" max="16" width="9.5703125" customWidth="1" outlineLevel="1"/>
    <col min="18" max="18" width="1.140625" customWidth="1"/>
    <col min="19" max="27" width="9.140625" hidden="1" customWidth="1" outlineLevel="1"/>
    <col min="28" max="30" width="9.5703125" hidden="1" customWidth="1" outlineLevel="1"/>
    <col min="31" max="31" width="9.140625" collapsed="1"/>
    <col min="32" max="32" width="1.140625" customWidth="1"/>
    <col min="33" max="41" width="9.140625" hidden="1" customWidth="1" outlineLevel="1"/>
    <col min="42" max="44" width="9.5703125" hidden="1" customWidth="1" outlineLevel="1"/>
    <col min="45" max="45" width="9.140625" collapsed="1"/>
    <col min="46" max="46" width="1.140625" customWidth="1"/>
    <col min="47" max="55" width="9.140625" hidden="1" customWidth="1" outlineLevel="1"/>
    <col min="56" max="58" width="9.5703125" hidden="1" customWidth="1" outlineLevel="1"/>
    <col min="59" max="59" width="9.140625" collapsed="1"/>
    <col min="60" max="60" width="1.140625" customWidth="1"/>
    <col min="61" max="69" width="9.140625" hidden="1" customWidth="1" outlineLevel="1"/>
    <col min="70" max="72" width="9.5703125" hidden="1" customWidth="1" outlineLevel="1"/>
    <col min="73" max="73" width="9.140625" collapsed="1"/>
    <col min="74" max="74" width="1.140625" customWidth="1"/>
    <col min="75" max="83" width="9.140625" hidden="1" customWidth="1" outlineLevel="1"/>
    <col min="84" max="86" width="9.5703125" hidden="1" customWidth="1" outlineLevel="1"/>
    <col min="87" max="87" width="9.140625" collapsed="1"/>
    <col min="88" max="88" width="1.140625" customWidth="1"/>
    <col min="89" max="97" width="9.140625" hidden="1" customWidth="1" outlineLevel="1"/>
    <col min="98" max="100" width="9.5703125" hidden="1" customWidth="1" outlineLevel="1"/>
    <col min="101" max="101" width="9.140625" collapsed="1"/>
    <col min="102" max="102" width="1.140625" customWidth="1"/>
    <col min="103" max="111" width="9.140625" hidden="1" customWidth="1" outlineLevel="1"/>
    <col min="112" max="114" width="9.5703125" hidden="1" customWidth="1" outlineLevel="1"/>
    <col min="115" max="115" width="9.140625" collapsed="1"/>
    <col min="116" max="116" width="1.140625" customWidth="1"/>
    <col min="117" max="125" width="9.140625" hidden="1" customWidth="1" outlineLevel="1"/>
    <col min="126" max="128" width="9.5703125" hidden="1" customWidth="1" outlineLevel="1"/>
    <col min="129" max="129" width="9.140625" collapsed="1"/>
    <col min="130" max="130" width="1.140625" customWidth="1"/>
    <col min="131" max="139" width="9.140625" hidden="1" customWidth="1" outlineLevel="1"/>
    <col min="140" max="142" width="9.5703125" hidden="1" customWidth="1" outlineLevel="1"/>
    <col min="143" max="143" width="9.140625" collapsed="1"/>
    <col min="144" max="144" width="1.140625" customWidth="1"/>
    <col min="145" max="153" width="9.140625" hidden="1" customWidth="1" outlineLevel="1"/>
    <col min="154" max="156" width="9.5703125" hidden="1" customWidth="1" outlineLevel="1"/>
    <col min="157" max="157" width="9.140625" collapsed="1"/>
    <col min="158" max="158" width="1.140625" customWidth="1"/>
  </cols>
  <sheetData>
    <row r="1" spans="3:157" s="22" customFormat="1" ht="7.5" customHeight="1" x14ac:dyDescent="0.25"/>
    <row r="2" spans="3:157" s="22" customFormat="1" ht="25.5" customHeight="1" x14ac:dyDescent="0.25"/>
    <row r="3" spans="3:157" s="22" customFormat="1" ht="7.5" customHeight="1" x14ac:dyDescent="0.25"/>
    <row r="5" spans="3:157" ht="19.5" customHeight="1" x14ac:dyDescent="0.25">
      <c r="C5" s="10" t="s">
        <v>3</v>
      </c>
      <c r="E5" s="60">
        <v>2025</v>
      </c>
      <c r="F5" s="60"/>
      <c r="G5" s="60"/>
      <c r="H5" s="60"/>
      <c r="I5" s="60"/>
      <c r="J5" s="60"/>
      <c r="K5" s="60"/>
      <c r="L5" s="60"/>
      <c r="M5" s="60"/>
      <c r="N5" s="60"/>
      <c r="O5" s="60"/>
      <c r="P5" s="60"/>
      <c r="Q5" s="60"/>
      <c r="S5" s="60">
        <f>E5+1</f>
        <v>2026</v>
      </c>
      <c r="T5" s="60"/>
      <c r="U5" s="60"/>
      <c r="V5" s="60"/>
      <c r="W5" s="60"/>
      <c r="X5" s="60"/>
      <c r="Y5" s="60"/>
      <c r="Z5" s="60"/>
      <c r="AA5" s="60"/>
      <c r="AB5" s="60"/>
      <c r="AC5" s="60"/>
      <c r="AD5" s="60"/>
      <c r="AE5" s="60"/>
      <c r="AG5" s="60">
        <f t="shared" ref="AG5" si="0">S5+1</f>
        <v>2027</v>
      </c>
      <c r="AH5" s="60"/>
      <c r="AI5" s="60"/>
      <c r="AJ5" s="60"/>
      <c r="AK5" s="60"/>
      <c r="AL5" s="60"/>
      <c r="AM5" s="60"/>
      <c r="AN5" s="60"/>
      <c r="AO5" s="60"/>
      <c r="AP5" s="60"/>
      <c r="AQ5" s="60"/>
      <c r="AR5" s="60"/>
      <c r="AS5" s="60"/>
      <c r="AU5" s="60">
        <f t="shared" ref="AU5" si="1">AG5+1</f>
        <v>2028</v>
      </c>
      <c r="AV5" s="60"/>
      <c r="AW5" s="60"/>
      <c r="AX5" s="60"/>
      <c r="AY5" s="60"/>
      <c r="AZ5" s="60"/>
      <c r="BA5" s="60"/>
      <c r="BB5" s="60"/>
      <c r="BC5" s="60"/>
      <c r="BD5" s="60"/>
      <c r="BE5" s="60"/>
      <c r="BF5" s="60"/>
      <c r="BG5" s="60"/>
      <c r="BI5" s="60">
        <f t="shared" ref="BI5" si="2">AU5+1</f>
        <v>2029</v>
      </c>
      <c r="BJ5" s="60"/>
      <c r="BK5" s="60"/>
      <c r="BL5" s="60"/>
      <c r="BM5" s="60"/>
      <c r="BN5" s="60"/>
      <c r="BO5" s="60"/>
      <c r="BP5" s="60"/>
      <c r="BQ5" s="60"/>
      <c r="BR5" s="60"/>
      <c r="BS5" s="60"/>
      <c r="BT5" s="60"/>
      <c r="BU5" s="60"/>
      <c r="BW5" s="60">
        <f t="shared" ref="BW5" si="3">BI5+1</f>
        <v>2030</v>
      </c>
      <c r="BX5" s="60"/>
      <c r="BY5" s="60"/>
      <c r="BZ5" s="60"/>
      <c r="CA5" s="60"/>
      <c r="CB5" s="60"/>
      <c r="CC5" s="60"/>
      <c r="CD5" s="60"/>
      <c r="CE5" s="60"/>
      <c r="CF5" s="60"/>
      <c r="CG5" s="60"/>
      <c r="CH5" s="60"/>
      <c r="CI5" s="60"/>
      <c r="CK5" s="60">
        <f t="shared" ref="CK5" si="4">BW5+1</f>
        <v>2031</v>
      </c>
      <c r="CL5" s="60"/>
      <c r="CM5" s="60"/>
      <c r="CN5" s="60"/>
      <c r="CO5" s="60"/>
      <c r="CP5" s="60"/>
      <c r="CQ5" s="60"/>
      <c r="CR5" s="60"/>
      <c r="CS5" s="60"/>
      <c r="CT5" s="60"/>
      <c r="CU5" s="60"/>
      <c r="CV5" s="60"/>
      <c r="CW5" s="60"/>
      <c r="CY5" s="60">
        <f t="shared" ref="CY5" si="5">CK5+1</f>
        <v>2032</v>
      </c>
      <c r="CZ5" s="60"/>
      <c r="DA5" s="60"/>
      <c r="DB5" s="60"/>
      <c r="DC5" s="60"/>
      <c r="DD5" s="60"/>
      <c r="DE5" s="60"/>
      <c r="DF5" s="60"/>
      <c r="DG5" s="60"/>
      <c r="DH5" s="60"/>
      <c r="DI5" s="60"/>
      <c r="DJ5" s="60"/>
      <c r="DK5" s="60"/>
      <c r="DM5" s="60">
        <f t="shared" ref="DM5" si="6">CY5+1</f>
        <v>2033</v>
      </c>
      <c r="DN5" s="60"/>
      <c r="DO5" s="60"/>
      <c r="DP5" s="60"/>
      <c r="DQ5" s="60"/>
      <c r="DR5" s="60"/>
      <c r="DS5" s="60"/>
      <c r="DT5" s="60"/>
      <c r="DU5" s="60"/>
      <c r="DV5" s="60"/>
      <c r="DW5" s="60"/>
      <c r="DX5" s="60"/>
      <c r="DY5" s="60"/>
      <c r="EA5" s="60">
        <f t="shared" ref="EA5" si="7">DM5+1</f>
        <v>2034</v>
      </c>
      <c r="EB5" s="60"/>
      <c r="EC5" s="60"/>
      <c r="ED5" s="60"/>
      <c r="EE5" s="60"/>
      <c r="EF5" s="60"/>
      <c r="EG5" s="60"/>
      <c r="EH5" s="60"/>
      <c r="EI5" s="60"/>
      <c r="EJ5" s="60"/>
      <c r="EK5" s="60"/>
      <c r="EL5" s="60"/>
      <c r="EM5" s="60"/>
      <c r="EO5" s="60">
        <f t="shared" ref="EO5" si="8">EA5+1</f>
        <v>2035</v>
      </c>
      <c r="EP5" s="60"/>
      <c r="EQ5" s="60"/>
      <c r="ER5" s="60"/>
      <c r="ES5" s="60"/>
      <c r="ET5" s="60"/>
      <c r="EU5" s="60"/>
      <c r="EV5" s="60"/>
      <c r="EW5" s="60"/>
      <c r="EX5" s="60"/>
      <c r="EY5" s="60"/>
      <c r="EZ5" s="60"/>
      <c r="FA5" s="60"/>
    </row>
    <row r="6" spans="3:157" x14ac:dyDescent="0.25">
      <c r="E6" s="15" t="str">
        <f ca="1">IF(E7=0, "Jan ✓", "Jan")</f>
        <v>Jan ✓</v>
      </c>
      <c r="F6" s="15" t="str">
        <f ca="1">IF(F7=0, "Feb ✓", "Feb")</f>
        <v>Feb ✓</v>
      </c>
      <c r="G6" s="15" t="str">
        <f ca="1">IF(G7=0, "Mar ✓", "Mar")</f>
        <v>Mar ✓</v>
      </c>
      <c r="H6" s="15" t="str">
        <f ca="1">IF(H7=0, "Apr ✓", "Apr")</f>
        <v>Apr ✓</v>
      </c>
      <c r="I6" s="15" t="str">
        <f ca="1">IF(I7=0, "May ✓", "May")</f>
        <v>May ✓</v>
      </c>
      <c r="J6" s="15" t="str">
        <f ca="1">IF(J7=0, "June ✓", "June")</f>
        <v>June ✓</v>
      </c>
      <c r="K6" s="15" t="str">
        <f ca="1">IF(K7=0, "July ✓", "July")</f>
        <v>July ✓</v>
      </c>
      <c r="L6" s="15" t="str">
        <f ca="1">IF(L7=0, "Aug ✓", "Aug")</f>
        <v>Aug ✓</v>
      </c>
      <c r="M6" s="15" t="str">
        <f ca="1">IF(M7=0, "Sep ✓", "Sep")</f>
        <v>Sep ✓</v>
      </c>
      <c r="N6" s="15" t="str">
        <f ca="1">IF(N7=0, "Oct ✓", "Oct")</f>
        <v>Oct ✓</v>
      </c>
      <c r="O6" s="15" t="str">
        <f ca="1">IF(O7=0, "Nov ✓", "Nov")</f>
        <v>Nov ✓</v>
      </c>
      <c r="P6" s="15" t="str">
        <f ca="1">IF(P7=0, "Dec ✓", "Dec")</f>
        <v>Dec ✓</v>
      </c>
      <c r="Q6" s="15" t="str">
        <f ca="1">IF(Q7=0, "Total ✓", "Total")</f>
        <v>Total ✓</v>
      </c>
      <c r="S6" s="15" t="str">
        <f ca="1">IF(S7=0, "Jan ✓", "Jan")</f>
        <v>Jan ✓</v>
      </c>
      <c r="T6" s="15" t="str">
        <f ca="1">IF(T7=0, "Feb ✓", "Feb")</f>
        <v>Feb ✓</v>
      </c>
      <c r="U6" s="15" t="str">
        <f ca="1">IF(U7=0, "Mar ✓", "Mar")</f>
        <v>Mar ✓</v>
      </c>
      <c r="V6" s="15" t="str">
        <f ca="1">IF(V7=0, "Apr ✓", "Apr")</f>
        <v>Apr ✓</v>
      </c>
      <c r="W6" s="15" t="str">
        <f ca="1">IF(W7=0, "May ✓", "May")</f>
        <v>May ✓</v>
      </c>
      <c r="X6" s="15" t="str">
        <f ca="1">IF(X7=0, "June ✓", "June")</f>
        <v>June ✓</v>
      </c>
      <c r="Y6" s="15" t="str">
        <f ca="1">IF(Y7=0, "July ✓", "July")</f>
        <v>July ✓</v>
      </c>
      <c r="Z6" s="15" t="str">
        <f ca="1">IF(Z7=0, "Aug ✓", "Aug")</f>
        <v>Aug ✓</v>
      </c>
      <c r="AA6" s="15" t="str">
        <f ca="1">IF(AA7=0, "Sep ✓", "Sep")</f>
        <v>Sep ✓</v>
      </c>
      <c r="AB6" s="15" t="str">
        <f ca="1">IF(AB7=0, "Oct ✓", "Oct")</f>
        <v>Oct ✓</v>
      </c>
      <c r="AC6" s="15" t="str">
        <f ca="1">IF(AC7=0, "Nov ✓", "Nov")</f>
        <v>Nov ✓</v>
      </c>
      <c r="AD6" s="15" t="str">
        <f ca="1">IF(AD7=0, "Dec ✓", "Dec")</f>
        <v>Dec ✓</v>
      </c>
      <c r="AE6" s="15" t="str">
        <f ca="1">IF(AE7=0, "Total ✓", "Total")</f>
        <v>Total ✓</v>
      </c>
      <c r="AG6" s="15" t="str">
        <f t="shared" ref="AG6" ca="1" si="9">IF(AG7=0, "Jan ✓", "Jan")</f>
        <v>Jan ✓</v>
      </c>
      <c r="AH6" s="15" t="str">
        <f t="shared" ref="AH6" ca="1" si="10">IF(AH7=0, "Feb ✓", "Feb")</f>
        <v>Feb ✓</v>
      </c>
      <c r="AI6" s="15" t="str">
        <f t="shared" ref="AI6" ca="1" si="11">IF(AI7=0, "Mar ✓", "Mar")</f>
        <v>Mar ✓</v>
      </c>
      <c r="AJ6" s="15" t="str">
        <f t="shared" ref="AJ6" ca="1" si="12">IF(AJ7=0, "Apr ✓", "Apr")</f>
        <v>Apr ✓</v>
      </c>
      <c r="AK6" s="15" t="str">
        <f t="shared" ref="AK6" ca="1" si="13">IF(AK7=0, "May ✓", "May")</f>
        <v>May ✓</v>
      </c>
      <c r="AL6" s="15" t="str">
        <f t="shared" ref="AL6" ca="1" si="14">IF(AL7=0, "June ✓", "June")</f>
        <v>June ✓</v>
      </c>
      <c r="AM6" s="15" t="str">
        <f t="shared" ref="AM6" ca="1" si="15">IF(AM7=0, "July ✓", "July")</f>
        <v>July ✓</v>
      </c>
      <c r="AN6" s="15" t="str">
        <f t="shared" ref="AN6" ca="1" si="16">IF(AN7=0, "Aug ✓", "Aug")</f>
        <v>Aug ✓</v>
      </c>
      <c r="AO6" s="15" t="str">
        <f t="shared" ref="AO6" ca="1" si="17">IF(AO7=0, "Sep ✓", "Sep")</f>
        <v>Sep ✓</v>
      </c>
      <c r="AP6" s="15" t="str">
        <f t="shared" ref="AP6" ca="1" si="18">IF(AP7=0, "Oct ✓", "Oct")</f>
        <v>Oct ✓</v>
      </c>
      <c r="AQ6" s="15" t="str">
        <f t="shared" ref="AQ6" ca="1" si="19">IF(AQ7=0, "Nov ✓", "Nov")</f>
        <v>Nov ✓</v>
      </c>
      <c r="AR6" s="15" t="str">
        <f t="shared" ref="AR6" ca="1" si="20">IF(AR7=0, "Dec ✓", "Dec")</f>
        <v>Dec ✓</v>
      </c>
      <c r="AS6" s="15" t="str">
        <f t="shared" ref="AS6" ca="1" si="21">IF(AS7=0, "Total ✓", "Total")</f>
        <v>Total ✓</v>
      </c>
      <c r="AU6" s="15" t="str">
        <f t="shared" ref="AU6" ca="1" si="22">IF(AU7=0, "Jan ✓", "Jan")</f>
        <v>Jan ✓</v>
      </c>
      <c r="AV6" s="15" t="str">
        <f t="shared" ref="AV6" ca="1" si="23">IF(AV7=0, "Feb ✓", "Feb")</f>
        <v>Feb ✓</v>
      </c>
      <c r="AW6" s="15" t="str">
        <f t="shared" ref="AW6" ca="1" si="24">IF(AW7=0, "Mar ✓", "Mar")</f>
        <v>Mar ✓</v>
      </c>
      <c r="AX6" s="15" t="str">
        <f t="shared" ref="AX6" ca="1" si="25">IF(AX7=0, "Apr ✓", "Apr")</f>
        <v>Apr ✓</v>
      </c>
      <c r="AY6" s="15" t="str">
        <f t="shared" ref="AY6" ca="1" si="26">IF(AY7=0, "May ✓", "May")</f>
        <v>May ✓</v>
      </c>
      <c r="AZ6" s="15" t="str">
        <f t="shared" ref="AZ6" ca="1" si="27">IF(AZ7=0, "June ✓", "June")</f>
        <v>June ✓</v>
      </c>
      <c r="BA6" s="15" t="str">
        <f t="shared" ref="BA6" ca="1" si="28">IF(BA7=0, "July ✓", "July")</f>
        <v>July ✓</v>
      </c>
      <c r="BB6" s="15" t="str">
        <f t="shared" ref="BB6" ca="1" si="29">IF(BB7=0, "Aug ✓", "Aug")</f>
        <v>Aug ✓</v>
      </c>
      <c r="BC6" s="15" t="str">
        <f t="shared" ref="BC6" ca="1" si="30">IF(BC7=0, "Sep ✓", "Sep")</f>
        <v>Sep ✓</v>
      </c>
      <c r="BD6" s="15" t="str">
        <f t="shared" ref="BD6" ca="1" si="31">IF(BD7=0, "Oct ✓", "Oct")</f>
        <v>Oct ✓</v>
      </c>
      <c r="BE6" s="15" t="str">
        <f t="shared" ref="BE6" ca="1" si="32">IF(BE7=0, "Nov ✓", "Nov")</f>
        <v>Nov ✓</v>
      </c>
      <c r="BF6" s="15" t="str">
        <f t="shared" ref="BF6" ca="1" si="33">IF(BF7=0, "Dec ✓", "Dec")</f>
        <v>Dec ✓</v>
      </c>
      <c r="BG6" s="15" t="str">
        <f t="shared" ref="BG6" ca="1" si="34">IF(BG7=0, "Total ✓", "Total")</f>
        <v>Total ✓</v>
      </c>
      <c r="BI6" s="15" t="str">
        <f t="shared" ref="BI6" ca="1" si="35">IF(BI7=0, "Jan ✓", "Jan")</f>
        <v>Jan ✓</v>
      </c>
      <c r="BJ6" s="15" t="str">
        <f t="shared" ref="BJ6" ca="1" si="36">IF(BJ7=0, "Feb ✓", "Feb")</f>
        <v>Feb ✓</v>
      </c>
      <c r="BK6" s="15" t="str">
        <f t="shared" ref="BK6" ca="1" si="37">IF(BK7=0, "Mar ✓", "Mar")</f>
        <v>Mar ✓</v>
      </c>
      <c r="BL6" s="15" t="str">
        <f t="shared" ref="BL6" ca="1" si="38">IF(BL7=0, "Apr ✓", "Apr")</f>
        <v>Apr ✓</v>
      </c>
      <c r="BM6" s="15" t="str">
        <f t="shared" ref="BM6" ca="1" si="39">IF(BM7=0, "May ✓", "May")</f>
        <v>May ✓</v>
      </c>
      <c r="BN6" s="15" t="str">
        <f t="shared" ref="BN6" ca="1" si="40">IF(BN7=0, "June ✓", "June")</f>
        <v>June ✓</v>
      </c>
      <c r="BO6" s="15" t="str">
        <f t="shared" ref="BO6" ca="1" si="41">IF(BO7=0, "July ✓", "July")</f>
        <v>July ✓</v>
      </c>
      <c r="BP6" s="15" t="str">
        <f t="shared" ref="BP6" ca="1" si="42">IF(BP7=0, "Aug ✓", "Aug")</f>
        <v>Aug ✓</v>
      </c>
      <c r="BQ6" s="15" t="str">
        <f t="shared" ref="BQ6" ca="1" si="43">IF(BQ7=0, "Sep ✓", "Sep")</f>
        <v>Sep ✓</v>
      </c>
      <c r="BR6" s="15" t="str">
        <f t="shared" ref="BR6" ca="1" si="44">IF(BR7=0, "Oct ✓", "Oct")</f>
        <v>Oct ✓</v>
      </c>
      <c r="BS6" s="15" t="str">
        <f t="shared" ref="BS6" ca="1" si="45">IF(BS7=0, "Nov ✓", "Nov")</f>
        <v>Nov ✓</v>
      </c>
      <c r="BT6" s="15" t="str">
        <f t="shared" ref="BT6" ca="1" si="46">IF(BT7=0, "Dec ✓", "Dec")</f>
        <v>Dec ✓</v>
      </c>
      <c r="BU6" s="15" t="str">
        <f t="shared" ref="BU6" ca="1" si="47">IF(BU7=0, "Total ✓", "Total")</f>
        <v>Total ✓</v>
      </c>
      <c r="BW6" s="15" t="str">
        <f t="shared" ref="BW6" ca="1" si="48">IF(BW7=0, "Jan ✓", "Jan")</f>
        <v>Jan ✓</v>
      </c>
      <c r="BX6" s="15" t="str">
        <f t="shared" ref="BX6" ca="1" si="49">IF(BX7=0, "Feb ✓", "Feb")</f>
        <v>Feb ✓</v>
      </c>
      <c r="BY6" s="15" t="str">
        <f t="shared" ref="BY6" ca="1" si="50">IF(BY7=0, "Mar ✓", "Mar")</f>
        <v>Mar ✓</v>
      </c>
      <c r="BZ6" s="15" t="str">
        <f t="shared" ref="BZ6" ca="1" si="51">IF(BZ7=0, "Apr ✓", "Apr")</f>
        <v>Apr ✓</v>
      </c>
      <c r="CA6" s="15" t="str">
        <f t="shared" ref="CA6" ca="1" si="52">IF(CA7=0, "May ✓", "May")</f>
        <v>May ✓</v>
      </c>
      <c r="CB6" s="15" t="str">
        <f t="shared" ref="CB6" ca="1" si="53">IF(CB7=0, "June ✓", "June")</f>
        <v>June ✓</v>
      </c>
      <c r="CC6" s="15" t="str">
        <f t="shared" ref="CC6" ca="1" si="54">IF(CC7=0, "July ✓", "July")</f>
        <v>July ✓</v>
      </c>
      <c r="CD6" s="15" t="str">
        <f t="shared" ref="CD6" ca="1" si="55">IF(CD7=0, "Aug ✓", "Aug")</f>
        <v>Aug ✓</v>
      </c>
      <c r="CE6" s="15" t="str">
        <f t="shared" ref="CE6" ca="1" si="56">IF(CE7=0, "Sep ✓", "Sep")</f>
        <v>Sep ✓</v>
      </c>
      <c r="CF6" s="15" t="str">
        <f t="shared" ref="CF6" ca="1" si="57">IF(CF7=0, "Oct ✓", "Oct")</f>
        <v>Oct ✓</v>
      </c>
      <c r="CG6" s="15" t="str">
        <f t="shared" ref="CG6" ca="1" si="58">IF(CG7=0, "Nov ✓", "Nov")</f>
        <v>Nov ✓</v>
      </c>
      <c r="CH6" s="15" t="str">
        <f t="shared" ref="CH6" ca="1" si="59">IF(CH7=0, "Dec ✓", "Dec")</f>
        <v>Dec ✓</v>
      </c>
      <c r="CI6" s="15" t="str">
        <f t="shared" ref="CI6" ca="1" si="60">IF(CI7=0, "Total ✓", "Total")</f>
        <v>Total ✓</v>
      </c>
      <c r="CK6" s="15" t="str">
        <f t="shared" ref="CK6" ca="1" si="61">IF(CK7=0, "Jan ✓", "Jan")</f>
        <v>Jan ✓</v>
      </c>
      <c r="CL6" s="15" t="str">
        <f t="shared" ref="CL6" ca="1" si="62">IF(CL7=0, "Feb ✓", "Feb")</f>
        <v>Feb ✓</v>
      </c>
      <c r="CM6" s="15" t="str">
        <f t="shared" ref="CM6" ca="1" si="63">IF(CM7=0, "Mar ✓", "Mar")</f>
        <v>Mar ✓</v>
      </c>
      <c r="CN6" s="15" t="str">
        <f t="shared" ref="CN6" ca="1" si="64">IF(CN7=0, "Apr ✓", "Apr")</f>
        <v>Apr ✓</v>
      </c>
      <c r="CO6" s="15" t="str">
        <f t="shared" ref="CO6" ca="1" si="65">IF(CO7=0, "May ✓", "May")</f>
        <v>May ✓</v>
      </c>
      <c r="CP6" s="15" t="str">
        <f t="shared" ref="CP6" ca="1" si="66">IF(CP7=0, "June ✓", "June")</f>
        <v>June ✓</v>
      </c>
      <c r="CQ6" s="15" t="str">
        <f t="shared" ref="CQ6" ca="1" si="67">IF(CQ7=0, "July ✓", "July")</f>
        <v>July ✓</v>
      </c>
      <c r="CR6" s="15" t="str">
        <f t="shared" ref="CR6" ca="1" si="68">IF(CR7=0, "Aug ✓", "Aug")</f>
        <v>Aug ✓</v>
      </c>
      <c r="CS6" s="15" t="str">
        <f t="shared" ref="CS6" ca="1" si="69">IF(CS7=0, "Sep ✓", "Sep")</f>
        <v>Sep ✓</v>
      </c>
      <c r="CT6" s="15" t="str">
        <f t="shared" ref="CT6" ca="1" si="70">IF(CT7=0, "Oct ✓", "Oct")</f>
        <v>Oct ✓</v>
      </c>
      <c r="CU6" s="15" t="str">
        <f t="shared" ref="CU6" ca="1" si="71">IF(CU7=0, "Nov ✓", "Nov")</f>
        <v>Nov ✓</v>
      </c>
      <c r="CV6" s="15" t="str">
        <f t="shared" ref="CV6" ca="1" si="72">IF(CV7=0, "Dec ✓", "Dec")</f>
        <v>Dec ✓</v>
      </c>
      <c r="CW6" s="15" t="str">
        <f t="shared" ref="CW6" ca="1" si="73">IF(CW7=0, "Total ✓", "Total")</f>
        <v>Total ✓</v>
      </c>
      <c r="CY6" s="15" t="str">
        <f t="shared" ref="CY6" ca="1" si="74">IF(CY7=0, "Jan ✓", "Jan")</f>
        <v>Jan ✓</v>
      </c>
      <c r="CZ6" s="15" t="str">
        <f t="shared" ref="CZ6" ca="1" si="75">IF(CZ7=0, "Feb ✓", "Feb")</f>
        <v>Feb ✓</v>
      </c>
      <c r="DA6" s="15" t="str">
        <f t="shared" ref="DA6" ca="1" si="76">IF(DA7=0, "Mar ✓", "Mar")</f>
        <v>Mar ✓</v>
      </c>
      <c r="DB6" s="15" t="str">
        <f t="shared" ref="DB6" ca="1" si="77">IF(DB7=0, "Apr ✓", "Apr")</f>
        <v>Apr ✓</v>
      </c>
      <c r="DC6" s="15" t="str">
        <f t="shared" ref="DC6" ca="1" si="78">IF(DC7=0, "May ✓", "May")</f>
        <v>May ✓</v>
      </c>
      <c r="DD6" s="15" t="str">
        <f t="shared" ref="DD6" ca="1" si="79">IF(DD7=0, "June ✓", "June")</f>
        <v>June ✓</v>
      </c>
      <c r="DE6" s="15" t="str">
        <f t="shared" ref="DE6" ca="1" si="80">IF(DE7=0, "July ✓", "July")</f>
        <v>July ✓</v>
      </c>
      <c r="DF6" s="15" t="str">
        <f t="shared" ref="DF6" ca="1" si="81">IF(DF7=0, "Aug ✓", "Aug")</f>
        <v>Aug ✓</v>
      </c>
      <c r="DG6" s="15" t="str">
        <f t="shared" ref="DG6" ca="1" si="82">IF(DG7=0, "Sep ✓", "Sep")</f>
        <v>Sep ✓</v>
      </c>
      <c r="DH6" s="15" t="str">
        <f t="shared" ref="DH6" ca="1" si="83">IF(DH7=0, "Oct ✓", "Oct")</f>
        <v>Oct ✓</v>
      </c>
      <c r="DI6" s="15" t="str">
        <f t="shared" ref="DI6" ca="1" si="84">IF(DI7=0, "Nov ✓", "Nov")</f>
        <v>Nov ✓</v>
      </c>
      <c r="DJ6" s="15" t="str">
        <f t="shared" ref="DJ6" ca="1" si="85">IF(DJ7=0, "Dec ✓", "Dec")</f>
        <v>Dec ✓</v>
      </c>
      <c r="DK6" s="15" t="str">
        <f t="shared" ref="DK6" ca="1" si="86">IF(DK7=0, "Total ✓", "Total")</f>
        <v>Total ✓</v>
      </c>
      <c r="DM6" s="15" t="str">
        <f t="shared" ref="DM6" ca="1" si="87">IF(DM7=0, "Jan ✓", "Jan")</f>
        <v>Jan ✓</v>
      </c>
      <c r="DN6" s="15" t="str">
        <f t="shared" ref="DN6" ca="1" si="88">IF(DN7=0, "Feb ✓", "Feb")</f>
        <v>Feb ✓</v>
      </c>
      <c r="DO6" s="15" t="str">
        <f t="shared" ref="DO6" ca="1" si="89">IF(DO7=0, "Mar ✓", "Mar")</f>
        <v>Mar ✓</v>
      </c>
      <c r="DP6" s="15" t="str">
        <f t="shared" ref="DP6" ca="1" si="90">IF(DP7=0, "Apr ✓", "Apr")</f>
        <v>Apr ✓</v>
      </c>
      <c r="DQ6" s="15" t="str">
        <f t="shared" ref="DQ6" ca="1" si="91">IF(DQ7=0, "May ✓", "May")</f>
        <v>May ✓</v>
      </c>
      <c r="DR6" s="15" t="str">
        <f t="shared" ref="DR6" ca="1" si="92">IF(DR7=0, "June ✓", "June")</f>
        <v>June ✓</v>
      </c>
      <c r="DS6" s="15" t="str">
        <f t="shared" ref="DS6" ca="1" si="93">IF(DS7=0, "July ✓", "July")</f>
        <v>July ✓</v>
      </c>
      <c r="DT6" s="15" t="str">
        <f t="shared" ref="DT6" ca="1" si="94">IF(DT7=0, "Aug ✓", "Aug")</f>
        <v>Aug ✓</v>
      </c>
      <c r="DU6" s="15" t="str">
        <f t="shared" ref="DU6" ca="1" si="95">IF(DU7=0, "Sep ✓", "Sep")</f>
        <v>Sep ✓</v>
      </c>
      <c r="DV6" s="15" t="str">
        <f t="shared" ref="DV6" ca="1" si="96">IF(DV7=0, "Oct ✓", "Oct")</f>
        <v>Oct ✓</v>
      </c>
      <c r="DW6" s="15" t="str">
        <f t="shared" ref="DW6" ca="1" si="97">IF(DW7=0, "Nov ✓", "Nov")</f>
        <v>Nov ✓</v>
      </c>
      <c r="DX6" s="15" t="str">
        <f t="shared" ref="DX6" ca="1" si="98">IF(DX7=0, "Dec ✓", "Dec")</f>
        <v>Dec ✓</v>
      </c>
      <c r="DY6" s="15" t="str">
        <f t="shared" ref="DY6" ca="1" si="99">IF(DY7=0, "Total ✓", "Total")</f>
        <v>Total ✓</v>
      </c>
      <c r="EA6" s="15" t="str">
        <f t="shared" ref="EA6" ca="1" si="100">IF(EA7=0, "Jan ✓", "Jan")</f>
        <v>Jan ✓</v>
      </c>
      <c r="EB6" s="15" t="str">
        <f t="shared" ref="EB6" ca="1" si="101">IF(EB7=0, "Feb ✓", "Feb")</f>
        <v>Feb ✓</v>
      </c>
      <c r="EC6" s="15" t="str">
        <f t="shared" ref="EC6" ca="1" si="102">IF(EC7=0, "Mar ✓", "Mar")</f>
        <v>Mar ✓</v>
      </c>
      <c r="ED6" s="15" t="str">
        <f t="shared" ref="ED6" ca="1" si="103">IF(ED7=0, "Apr ✓", "Apr")</f>
        <v>Apr ✓</v>
      </c>
      <c r="EE6" s="15" t="str">
        <f t="shared" ref="EE6" ca="1" si="104">IF(EE7=0, "May ✓", "May")</f>
        <v>May ✓</v>
      </c>
      <c r="EF6" s="15" t="str">
        <f t="shared" ref="EF6" ca="1" si="105">IF(EF7=0, "June ✓", "June")</f>
        <v>June ✓</v>
      </c>
      <c r="EG6" s="15" t="str">
        <f t="shared" ref="EG6" ca="1" si="106">IF(EG7=0, "July ✓", "July")</f>
        <v>July ✓</v>
      </c>
      <c r="EH6" s="15" t="str">
        <f t="shared" ref="EH6" ca="1" si="107">IF(EH7=0, "Aug ✓", "Aug")</f>
        <v>Aug ✓</v>
      </c>
      <c r="EI6" s="15" t="str">
        <f t="shared" ref="EI6" ca="1" si="108">IF(EI7=0, "Sep ✓", "Sep")</f>
        <v>Sep ✓</v>
      </c>
      <c r="EJ6" s="15" t="str">
        <f t="shared" ref="EJ6" ca="1" si="109">IF(EJ7=0, "Oct ✓", "Oct")</f>
        <v>Oct ✓</v>
      </c>
      <c r="EK6" s="15" t="str">
        <f t="shared" ref="EK6" ca="1" si="110">IF(EK7=0, "Nov ✓", "Nov")</f>
        <v>Nov ✓</v>
      </c>
      <c r="EL6" s="15" t="str">
        <f t="shared" ref="EL6" ca="1" si="111">IF(EL7=0, "Dec ✓", "Dec")</f>
        <v>Dec ✓</v>
      </c>
      <c r="EM6" s="15" t="str">
        <f t="shared" ref="EM6" ca="1" si="112">IF(EM7=0, "Total ✓", "Total")</f>
        <v>Total ✓</v>
      </c>
      <c r="EO6" s="15" t="str">
        <f t="shared" ref="EO6" ca="1" si="113">IF(EO7=0, "Jan ✓", "Jan")</f>
        <v>Jan ✓</v>
      </c>
      <c r="EP6" s="15" t="str">
        <f t="shared" ref="EP6" ca="1" si="114">IF(EP7=0, "Feb ✓", "Feb")</f>
        <v>Feb ✓</v>
      </c>
      <c r="EQ6" s="15" t="str">
        <f t="shared" ref="EQ6" ca="1" si="115">IF(EQ7=0, "Mar ✓", "Mar")</f>
        <v>Mar ✓</v>
      </c>
      <c r="ER6" s="15" t="str">
        <f t="shared" ref="ER6" ca="1" si="116">IF(ER7=0, "Apr ✓", "Apr")</f>
        <v>Apr ✓</v>
      </c>
      <c r="ES6" s="15" t="str">
        <f t="shared" ref="ES6" ca="1" si="117">IF(ES7=0, "May ✓", "May")</f>
        <v>May ✓</v>
      </c>
      <c r="ET6" s="15" t="str">
        <f t="shared" ref="ET6" ca="1" si="118">IF(ET7=0, "June ✓", "June")</f>
        <v>June ✓</v>
      </c>
      <c r="EU6" s="15" t="str">
        <f t="shared" ref="EU6" ca="1" si="119">IF(EU7=0, "July ✓", "July")</f>
        <v>July ✓</v>
      </c>
      <c r="EV6" s="15" t="str">
        <f t="shared" ref="EV6" ca="1" si="120">IF(EV7=0, "Aug ✓", "Aug")</f>
        <v>Aug ✓</v>
      </c>
      <c r="EW6" s="15" t="str">
        <f t="shared" ref="EW6" ca="1" si="121">IF(EW7=0, "Sep ✓", "Sep")</f>
        <v>Sep ✓</v>
      </c>
      <c r="EX6" s="15" t="str">
        <f t="shared" ref="EX6" ca="1" si="122">IF(EX7=0, "Oct ✓", "Oct")</f>
        <v>Oct ✓</v>
      </c>
      <c r="EY6" s="15" t="str">
        <f t="shared" ref="EY6" ca="1" si="123">IF(EY7=0, "Nov ✓", "Nov")</f>
        <v>Nov ✓</v>
      </c>
      <c r="EZ6" s="15" t="str">
        <f t="shared" ref="EZ6" ca="1" si="124">IF(EZ7=0, "Dec ✓", "Dec")</f>
        <v>Dec ✓</v>
      </c>
      <c r="FA6" s="15" t="str">
        <f t="shared" ref="FA6" ca="1" si="125">IF(FA7=0, "Total ✓", "Total")</f>
        <v>Total ✓</v>
      </c>
    </row>
    <row r="7" spans="3:157" x14ac:dyDescent="0.25">
      <c r="C7" s="21" t="s">
        <v>18</v>
      </c>
      <c r="E7" s="102">
        <f t="shared" ref="E7:Q7" ca="1" si="126">E20-(E36+E49)</f>
        <v>0</v>
      </c>
      <c r="F7" s="102">
        <f t="shared" ca="1" si="126"/>
        <v>0</v>
      </c>
      <c r="G7" s="102">
        <f t="shared" ca="1" si="126"/>
        <v>0</v>
      </c>
      <c r="H7" s="102">
        <f t="shared" ca="1" si="126"/>
        <v>0</v>
      </c>
      <c r="I7" s="102">
        <f t="shared" ca="1" si="126"/>
        <v>0</v>
      </c>
      <c r="J7" s="102">
        <f t="shared" ca="1" si="126"/>
        <v>0</v>
      </c>
      <c r="K7" s="102">
        <f t="shared" ca="1" si="126"/>
        <v>0</v>
      </c>
      <c r="L7" s="102">
        <f t="shared" ca="1" si="126"/>
        <v>0</v>
      </c>
      <c r="M7" s="102">
        <f t="shared" ca="1" si="126"/>
        <v>0</v>
      </c>
      <c r="N7" s="102">
        <f t="shared" ca="1" si="126"/>
        <v>0</v>
      </c>
      <c r="O7" s="102">
        <f t="shared" ca="1" si="126"/>
        <v>0</v>
      </c>
      <c r="P7" s="102">
        <f t="shared" ca="1" si="126"/>
        <v>0</v>
      </c>
      <c r="Q7" s="103">
        <f t="shared" ca="1" si="126"/>
        <v>0</v>
      </c>
      <c r="S7" s="102">
        <f ca="1">S20-(S36+S49)</f>
        <v>0</v>
      </c>
      <c r="T7" s="102">
        <f t="shared" ref="T7:AC7" ca="1" si="127">T20-(T36+T49)</f>
        <v>0</v>
      </c>
      <c r="U7" s="102">
        <f t="shared" ca="1" si="127"/>
        <v>0</v>
      </c>
      <c r="V7" s="102">
        <f t="shared" ca="1" si="127"/>
        <v>0</v>
      </c>
      <c r="W7" s="102">
        <f t="shared" ca="1" si="127"/>
        <v>0</v>
      </c>
      <c r="X7" s="102">
        <f t="shared" ca="1" si="127"/>
        <v>0</v>
      </c>
      <c r="Y7" s="102">
        <f t="shared" ca="1" si="127"/>
        <v>0</v>
      </c>
      <c r="Z7" s="102">
        <f t="shared" ca="1" si="127"/>
        <v>0</v>
      </c>
      <c r="AA7" s="102">
        <f t="shared" ca="1" si="127"/>
        <v>0</v>
      </c>
      <c r="AB7" s="102">
        <f t="shared" ca="1" si="127"/>
        <v>0</v>
      </c>
      <c r="AC7" s="102">
        <f t="shared" ca="1" si="127"/>
        <v>0</v>
      </c>
      <c r="AD7" s="102">
        <f ca="1">AD20-(AD36+AD49)</f>
        <v>0</v>
      </c>
      <c r="AE7" s="103">
        <f t="shared" ref="AE7" ca="1" si="128">AE20-(AE36+AE49)</f>
        <v>0</v>
      </c>
      <c r="AG7" s="102">
        <f t="shared" ref="AG7:AS7" ca="1" si="129">AG20-(AG36+AG49)</f>
        <v>0</v>
      </c>
      <c r="AH7" s="102">
        <f t="shared" ca="1" si="129"/>
        <v>0</v>
      </c>
      <c r="AI7" s="102">
        <f t="shared" ca="1" si="129"/>
        <v>0</v>
      </c>
      <c r="AJ7" s="102">
        <f t="shared" ca="1" si="129"/>
        <v>0</v>
      </c>
      <c r="AK7" s="102">
        <f t="shared" ca="1" si="129"/>
        <v>0</v>
      </c>
      <c r="AL7" s="102">
        <f t="shared" ca="1" si="129"/>
        <v>0</v>
      </c>
      <c r="AM7" s="102">
        <f t="shared" ca="1" si="129"/>
        <v>0</v>
      </c>
      <c r="AN7" s="102">
        <f t="shared" ca="1" si="129"/>
        <v>0</v>
      </c>
      <c r="AO7" s="102">
        <f t="shared" ca="1" si="129"/>
        <v>0</v>
      </c>
      <c r="AP7" s="102">
        <f t="shared" ca="1" si="129"/>
        <v>0</v>
      </c>
      <c r="AQ7" s="102">
        <f t="shared" ca="1" si="129"/>
        <v>0</v>
      </c>
      <c r="AR7" s="102">
        <f t="shared" ca="1" si="129"/>
        <v>0</v>
      </c>
      <c r="AS7" s="103">
        <f t="shared" ca="1" si="129"/>
        <v>0</v>
      </c>
      <c r="AU7" s="102">
        <f t="shared" ref="AU7:BG7" ca="1" si="130">AU20-(AU36+AU49)</f>
        <v>0</v>
      </c>
      <c r="AV7" s="102">
        <f t="shared" ca="1" si="130"/>
        <v>0</v>
      </c>
      <c r="AW7" s="102">
        <f t="shared" ca="1" si="130"/>
        <v>0</v>
      </c>
      <c r="AX7" s="102">
        <f t="shared" ca="1" si="130"/>
        <v>0</v>
      </c>
      <c r="AY7" s="102">
        <f t="shared" ca="1" si="130"/>
        <v>0</v>
      </c>
      <c r="AZ7" s="102">
        <f t="shared" ca="1" si="130"/>
        <v>0</v>
      </c>
      <c r="BA7" s="102">
        <f t="shared" ca="1" si="130"/>
        <v>0</v>
      </c>
      <c r="BB7" s="102">
        <f t="shared" ca="1" si="130"/>
        <v>0</v>
      </c>
      <c r="BC7" s="102">
        <f t="shared" ca="1" si="130"/>
        <v>0</v>
      </c>
      <c r="BD7" s="102">
        <f t="shared" ca="1" si="130"/>
        <v>0</v>
      </c>
      <c r="BE7" s="102">
        <f t="shared" ca="1" si="130"/>
        <v>0</v>
      </c>
      <c r="BF7" s="102">
        <f t="shared" ca="1" si="130"/>
        <v>0</v>
      </c>
      <c r="BG7" s="103">
        <f t="shared" ca="1" si="130"/>
        <v>0</v>
      </c>
      <c r="BI7" s="102">
        <f t="shared" ref="BI7:BU7" ca="1" si="131">BI20-(BI36+BI49)</f>
        <v>0</v>
      </c>
      <c r="BJ7" s="102">
        <f t="shared" ca="1" si="131"/>
        <v>0</v>
      </c>
      <c r="BK7" s="102">
        <f t="shared" ca="1" si="131"/>
        <v>0</v>
      </c>
      <c r="BL7" s="102">
        <f t="shared" ca="1" si="131"/>
        <v>0</v>
      </c>
      <c r="BM7" s="102">
        <f t="shared" ca="1" si="131"/>
        <v>0</v>
      </c>
      <c r="BN7" s="102">
        <f t="shared" ca="1" si="131"/>
        <v>0</v>
      </c>
      <c r="BO7" s="102">
        <f t="shared" ca="1" si="131"/>
        <v>0</v>
      </c>
      <c r="BP7" s="102">
        <f t="shared" ca="1" si="131"/>
        <v>0</v>
      </c>
      <c r="BQ7" s="102">
        <f t="shared" ca="1" si="131"/>
        <v>0</v>
      </c>
      <c r="BR7" s="102">
        <f t="shared" ca="1" si="131"/>
        <v>0</v>
      </c>
      <c r="BS7" s="102">
        <f t="shared" ca="1" si="131"/>
        <v>0</v>
      </c>
      <c r="BT7" s="102">
        <f t="shared" ca="1" si="131"/>
        <v>0</v>
      </c>
      <c r="BU7" s="103">
        <f t="shared" ca="1" si="131"/>
        <v>0</v>
      </c>
      <c r="BW7" s="102">
        <f t="shared" ref="BW7:CI7" ca="1" si="132">BW20-(BW36+BW49)</f>
        <v>0</v>
      </c>
      <c r="BX7" s="102">
        <f t="shared" ca="1" si="132"/>
        <v>0</v>
      </c>
      <c r="BY7" s="102">
        <f t="shared" ca="1" si="132"/>
        <v>0</v>
      </c>
      <c r="BZ7" s="102">
        <f t="shared" ca="1" si="132"/>
        <v>0</v>
      </c>
      <c r="CA7" s="102">
        <f t="shared" ca="1" si="132"/>
        <v>0</v>
      </c>
      <c r="CB7" s="102">
        <f t="shared" ca="1" si="132"/>
        <v>0</v>
      </c>
      <c r="CC7" s="102">
        <f t="shared" ca="1" si="132"/>
        <v>0</v>
      </c>
      <c r="CD7" s="102">
        <f t="shared" ca="1" si="132"/>
        <v>0</v>
      </c>
      <c r="CE7" s="102">
        <f t="shared" ca="1" si="132"/>
        <v>0</v>
      </c>
      <c r="CF7" s="102">
        <f t="shared" ca="1" si="132"/>
        <v>0</v>
      </c>
      <c r="CG7" s="102">
        <f t="shared" ca="1" si="132"/>
        <v>0</v>
      </c>
      <c r="CH7" s="102">
        <f t="shared" ca="1" si="132"/>
        <v>0</v>
      </c>
      <c r="CI7" s="103">
        <f t="shared" ca="1" si="132"/>
        <v>0</v>
      </c>
      <c r="CK7" s="102">
        <f t="shared" ref="CK7:CW7" ca="1" si="133">CK20-(CK36+CK49)</f>
        <v>0</v>
      </c>
      <c r="CL7" s="102">
        <f t="shared" ca="1" si="133"/>
        <v>0</v>
      </c>
      <c r="CM7" s="102">
        <f t="shared" ca="1" si="133"/>
        <v>0</v>
      </c>
      <c r="CN7" s="102">
        <f t="shared" ca="1" si="133"/>
        <v>0</v>
      </c>
      <c r="CO7" s="102">
        <f t="shared" ca="1" si="133"/>
        <v>0</v>
      </c>
      <c r="CP7" s="102">
        <f t="shared" ca="1" si="133"/>
        <v>0</v>
      </c>
      <c r="CQ7" s="102">
        <f t="shared" ca="1" si="133"/>
        <v>0</v>
      </c>
      <c r="CR7" s="102">
        <f t="shared" ca="1" si="133"/>
        <v>0</v>
      </c>
      <c r="CS7" s="102">
        <f t="shared" ca="1" si="133"/>
        <v>0</v>
      </c>
      <c r="CT7" s="102">
        <f t="shared" ca="1" si="133"/>
        <v>0</v>
      </c>
      <c r="CU7" s="102">
        <f t="shared" ca="1" si="133"/>
        <v>0</v>
      </c>
      <c r="CV7" s="102">
        <f t="shared" ca="1" si="133"/>
        <v>0</v>
      </c>
      <c r="CW7" s="103">
        <f t="shared" ca="1" si="133"/>
        <v>0</v>
      </c>
      <c r="CY7" s="102">
        <f t="shared" ref="CY7:DK7" ca="1" si="134">CY20-(CY36+CY49)</f>
        <v>0</v>
      </c>
      <c r="CZ7" s="102">
        <f t="shared" ca="1" si="134"/>
        <v>0</v>
      </c>
      <c r="DA7" s="102">
        <f t="shared" ca="1" si="134"/>
        <v>0</v>
      </c>
      <c r="DB7" s="102">
        <f t="shared" ca="1" si="134"/>
        <v>0</v>
      </c>
      <c r="DC7" s="102">
        <f t="shared" ca="1" si="134"/>
        <v>0</v>
      </c>
      <c r="DD7" s="102">
        <f t="shared" ca="1" si="134"/>
        <v>0</v>
      </c>
      <c r="DE7" s="102">
        <f t="shared" ca="1" si="134"/>
        <v>0</v>
      </c>
      <c r="DF7" s="102">
        <f t="shared" ca="1" si="134"/>
        <v>0</v>
      </c>
      <c r="DG7" s="102">
        <f t="shared" ca="1" si="134"/>
        <v>0</v>
      </c>
      <c r="DH7" s="102">
        <f t="shared" ca="1" si="134"/>
        <v>0</v>
      </c>
      <c r="DI7" s="102">
        <f t="shared" ca="1" si="134"/>
        <v>0</v>
      </c>
      <c r="DJ7" s="102">
        <f t="shared" ca="1" si="134"/>
        <v>0</v>
      </c>
      <c r="DK7" s="103">
        <f t="shared" ca="1" si="134"/>
        <v>0</v>
      </c>
      <c r="DM7" s="102">
        <f t="shared" ref="DM7:DY7" ca="1" si="135">DM20-(DM36+DM49)</f>
        <v>0</v>
      </c>
      <c r="DN7" s="102">
        <f t="shared" ca="1" si="135"/>
        <v>0</v>
      </c>
      <c r="DO7" s="102">
        <f t="shared" ca="1" si="135"/>
        <v>0</v>
      </c>
      <c r="DP7" s="102">
        <f t="shared" ca="1" si="135"/>
        <v>0</v>
      </c>
      <c r="DQ7" s="102">
        <f t="shared" ca="1" si="135"/>
        <v>0</v>
      </c>
      <c r="DR7" s="102">
        <f t="shared" ca="1" si="135"/>
        <v>0</v>
      </c>
      <c r="DS7" s="102">
        <f t="shared" ca="1" si="135"/>
        <v>0</v>
      </c>
      <c r="DT7" s="102">
        <f t="shared" ca="1" si="135"/>
        <v>0</v>
      </c>
      <c r="DU7" s="102">
        <f t="shared" ca="1" si="135"/>
        <v>0</v>
      </c>
      <c r="DV7" s="102">
        <f t="shared" ca="1" si="135"/>
        <v>0</v>
      </c>
      <c r="DW7" s="102">
        <f t="shared" ca="1" si="135"/>
        <v>0</v>
      </c>
      <c r="DX7" s="102">
        <f t="shared" ca="1" si="135"/>
        <v>0</v>
      </c>
      <c r="DY7" s="103">
        <f t="shared" ca="1" si="135"/>
        <v>0</v>
      </c>
      <c r="EA7" s="102">
        <f t="shared" ref="EA7:EM7" ca="1" si="136">EA20-(EA36+EA49)</f>
        <v>0</v>
      </c>
      <c r="EB7" s="102">
        <f t="shared" ca="1" si="136"/>
        <v>0</v>
      </c>
      <c r="EC7" s="102">
        <f t="shared" ca="1" si="136"/>
        <v>0</v>
      </c>
      <c r="ED7" s="102">
        <f t="shared" ca="1" si="136"/>
        <v>0</v>
      </c>
      <c r="EE7" s="102">
        <f t="shared" ca="1" si="136"/>
        <v>0</v>
      </c>
      <c r="EF7" s="102">
        <f t="shared" ca="1" si="136"/>
        <v>0</v>
      </c>
      <c r="EG7" s="102">
        <f t="shared" ca="1" si="136"/>
        <v>0</v>
      </c>
      <c r="EH7" s="102">
        <f t="shared" ca="1" si="136"/>
        <v>0</v>
      </c>
      <c r="EI7" s="102">
        <f t="shared" ca="1" si="136"/>
        <v>0</v>
      </c>
      <c r="EJ7" s="102">
        <f t="shared" ca="1" si="136"/>
        <v>0</v>
      </c>
      <c r="EK7" s="102">
        <f t="shared" ca="1" si="136"/>
        <v>0</v>
      </c>
      <c r="EL7" s="102">
        <f t="shared" ca="1" si="136"/>
        <v>0</v>
      </c>
      <c r="EM7" s="103">
        <f t="shared" ca="1" si="136"/>
        <v>0</v>
      </c>
      <c r="EO7" s="102">
        <f t="shared" ref="EO7:FA7" ca="1" si="137">EO20-(EO36+EO49)</f>
        <v>0</v>
      </c>
      <c r="EP7" s="102">
        <f t="shared" ca="1" si="137"/>
        <v>0</v>
      </c>
      <c r="EQ7" s="102">
        <f t="shared" ca="1" si="137"/>
        <v>0</v>
      </c>
      <c r="ER7" s="102">
        <f t="shared" ca="1" si="137"/>
        <v>0</v>
      </c>
      <c r="ES7" s="102">
        <f t="shared" ca="1" si="137"/>
        <v>0</v>
      </c>
      <c r="ET7" s="102">
        <f t="shared" ca="1" si="137"/>
        <v>0</v>
      </c>
      <c r="EU7" s="102">
        <f t="shared" ca="1" si="137"/>
        <v>0</v>
      </c>
      <c r="EV7" s="102">
        <f t="shared" ca="1" si="137"/>
        <v>0</v>
      </c>
      <c r="EW7" s="102">
        <f t="shared" ca="1" si="137"/>
        <v>0</v>
      </c>
      <c r="EX7" s="102">
        <f t="shared" ca="1" si="137"/>
        <v>0</v>
      </c>
      <c r="EY7" s="102">
        <f t="shared" ca="1" si="137"/>
        <v>0</v>
      </c>
      <c r="EZ7" s="102">
        <f t="shared" ca="1" si="137"/>
        <v>0</v>
      </c>
      <c r="FA7" s="103">
        <f t="shared" ca="1" si="137"/>
        <v>0</v>
      </c>
    </row>
    <row r="9" spans="3:157" x14ac:dyDescent="0.25">
      <c r="C9" s="11" t="s">
        <v>4</v>
      </c>
      <c r="E9" s="14">
        <f>DATE(E$5, 1, 1)</f>
        <v>45658</v>
      </c>
      <c r="F9" s="14">
        <f>DATE(E$5, 2, 1)</f>
        <v>45689</v>
      </c>
      <c r="G9" s="14">
        <f>DATE(E$5, 3, 1)</f>
        <v>45717</v>
      </c>
      <c r="H9" s="14">
        <f>DATE(E$5, 4, 1)</f>
        <v>45748</v>
      </c>
      <c r="I9" s="14">
        <f>DATE(E$5, 5, 1)</f>
        <v>45778</v>
      </c>
      <c r="J9" s="14">
        <f>DATE(E$5, 6, 1)</f>
        <v>45809</v>
      </c>
      <c r="K9" s="14">
        <f>DATE(E$5, 7, 1)</f>
        <v>45839</v>
      </c>
      <c r="L9" s="14">
        <f>DATE(E$5, 8, 1)</f>
        <v>45870</v>
      </c>
      <c r="M9" s="14">
        <f>DATE(E$5, 9, 1)</f>
        <v>45901</v>
      </c>
      <c r="N9" s="14">
        <f>DATE(E$5, 10, 1)</f>
        <v>45931</v>
      </c>
      <c r="O9" s="14">
        <f>DATE(E$5, 11, 1)</f>
        <v>45962</v>
      </c>
      <c r="P9" s="14">
        <f>DATE(E$5, 12, 1)</f>
        <v>45992</v>
      </c>
      <c r="Q9" s="13">
        <f>E$5</f>
        <v>2025</v>
      </c>
      <c r="S9" s="14">
        <f>DATE(S$5, 1, 1)</f>
        <v>46023</v>
      </c>
      <c r="T9" s="14">
        <f>DATE(S$5, 2, 1)</f>
        <v>46054</v>
      </c>
      <c r="U9" s="14">
        <f>DATE(S$5, 3, 1)</f>
        <v>46082</v>
      </c>
      <c r="V9" s="14">
        <f>DATE(S$5, 4, 1)</f>
        <v>46113</v>
      </c>
      <c r="W9" s="14">
        <f>DATE(S$5, 5, 1)</f>
        <v>46143</v>
      </c>
      <c r="X9" s="14">
        <f>DATE(S$5, 6, 1)</f>
        <v>46174</v>
      </c>
      <c r="Y9" s="14">
        <f>DATE(S$5, 7, 1)</f>
        <v>46204</v>
      </c>
      <c r="Z9" s="14">
        <f>DATE(S$5, 8, 1)</f>
        <v>46235</v>
      </c>
      <c r="AA9" s="14">
        <f>DATE(S$5, 9, 1)</f>
        <v>46266</v>
      </c>
      <c r="AB9" s="14">
        <f>DATE(S$5, 10, 1)</f>
        <v>46296</v>
      </c>
      <c r="AC9" s="14">
        <f>DATE(S$5, 11, 1)</f>
        <v>46327</v>
      </c>
      <c r="AD9" s="14">
        <f>DATE(S$5, 12, 1)</f>
        <v>46357</v>
      </c>
      <c r="AE9" s="13">
        <f>S$5</f>
        <v>2026</v>
      </c>
      <c r="AG9" s="14">
        <f t="shared" ref="AG9" si="138">DATE(AG$5, 1, 1)</f>
        <v>46388</v>
      </c>
      <c r="AH9" s="14">
        <f t="shared" ref="AH9" si="139">DATE(AG$5, 2, 1)</f>
        <v>46419</v>
      </c>
      <c r="AI9" s="14">
        <f t="shared" ref="AI9" si="140">DATE(AG$5, 3, 1)</f>
        <v>46447</v>
      </c>
      <c r="AJ9" s="14">
        <f t="shared" ref="AJ9" si="141">DATE(AG$5, 4, 1)</f>
        <v>46478</v>
      </c>
      <c r="AK9" s="14">
        <f t="shared" ref="AK9" si="142">DATE(AG$5, 5, 1)</f>
        <v>46508</v>
      </c>
      <c r="AL9" s="14">
        <f t="shared" ref="AL9" si="143">DATE(AG$5, 6, 1)</f>
        <v>46539</v>
      </c>
      <c r="AM9" s="14">
        <f t="shared" ref="AM9" si="144">DATE(AG$5, 7, 1)</f>
        <v>46569</v>
      </c>
      <c r="AN9" s="14">
        <f t="shared" ref="AN9" si="145">DATE(AG$5, 8, 1)</f>
        <v>46600</v>
      </c>
      <c r="AO9" s="14">
        <f t="shared" ref="AO9" si="146">DATE(AG$5, 9, 1)</f>
        <v>46631</v>
      </c>
      <c r="AP9" s="14">
        <f t="shared" ref="AP9" si="147">DATE(AG$5, 10, 1)</f>
        <v>46661</v>
      </c>
      <c r="AQ9" s="14">
        <f t="shared" ref="AQ9" si="148">DATE(AG$5, 11, 1)</f>
        <v>46692</v>
      </c>
      <c r="AR9" s="14">
        <f t="shared" ref="AR9" si="149">DATE(AG$5, 12, 1)</f>
        <v>46722</v>
      </c>
      <c r="AS9" s="13">
        <f t="shared" ref="AS9" si="150">AG$5</f>
        <v>2027</v>
      </c>
      <c r="AU9" s="14">
        <f t="shared" ref="AU9" si="151">DATE(AU$5, 1, 1)</f>
        <v>46753</v>
      </c>
      <c r="AV9" s="14">
        <f t="shared" ref="AV9" si="152">DATE(AU$5, 2, 1)</f>
        <v>46784</v>
      </c>
      <c r="AW9" s="14">
        <f t="shared" ref="AW9" si="153">DATE(AU$5, 3, 1)</f>
        <v>46813</v>
      </c>
      <c r="AX9" s="14">
        <f t="shared" ref="AX9" si="154">DATE(AU$5, 4, 1)</f>
        <v>46844</v>
      </c>
      <c r="AY9" s="14">
        <f t="shared" ref="AY9" si="155">DATE(AU$5, 5, 1)</f>
        <v>46874</v>
      </c>
      <c r="AZ9" s="14">
        <f t="shared" ref="AZ9" si="156">DATE(AU$5, 6, 1)</f>
        <v>46905</v>
      </c>
      <c r="BA9" s="14">
        <f t="shared" ref="BA9" si="157">DATE(AU$5, 7, 1)</f>
        <v>46935</v>
      </c>
      <c r="BB9" s="14">
        <f t="shared" ref="BB9" si="158">DATE(AU$5, 8, 1)</f>
        <v>46966</v>
      </c>
      <c r="BC9" s="14">
        <f t="shared" ref="BC9" si="159">DATE(AU$5, 9, 1)</f>
        <v>46997</v>
      </c>
      <c r="BD9" s="14">
        <f t="shared" ref="BD9" si="160">DATE(AU$5, 10, 1)</f>
        <v>47027</v>
      </c>
      <c r="BE9" s="14">
        <f t="shared" ref="BE9" si="161">DATE(AU$5, 11, 1)</f>
        <v>47058</v>
      </c>
      <c r="BF9" s="14">
        <f t="shared" ref="BF9" si="162">DATE(AU$5, 12, 1)</f>
        <v>47088</v>
      </c>
      <c r="BG9" s="13">
        <f t="shared" ref="BG9" si="163">AU$5</f>
        <v>2028</v>
      </c>
      <c r="BI9" s="14">
        <f t="shared" ref="BI9" si="164">DATE(BI$5, 1, 1)</f>
        <v>47119</v>
      </c>
      <c r="BJ9" s="14">
        <f t="shared" ref="BJ9" si="165">DATE(BI$5, 2, 1)</f>
        <v>47150</v>
      </c>
      <c r="BK9" s="14">
        <f t="shared" ref="BK9" si="166">DATE(BI$5, 3, 1)</f>
        <v>47178</v>
      </c>
      <c r="BL9" s="14">
        <f t="shared" ref="BL9" si="167">DATE(BI$5, 4, 1)</f>
        <v>47209</v>
      </c>
      <c r="BM9" s="14">
        <f t="shared" ref="BM9" si="168">DATE(BI$5, 5, 1)</f>
        <v>47239</v>
      </c>
      <c r="BN9" s="14">
        <f t="shared" ref="BN9" si="169">DATE(BI$5, 6, 1)</f>
        <v>47270</v>
      </c>
      <c r="BO9" s="14">
        <f t="shared" ref="BO9" si="170">DATE(BI$5, 7, 1)</f>
        <v>47300</v>
      </c>
      <c r="BP9" s="14">
        <f t="shared" ref="BP9" si="171">DATE(BI$5, 8, 1)</f>
        <v>47331</v>
      </c>
      <c r="BQ9" s="14">
        <f t="shared" ref="BQ9" si="172">DATE(BI$5, 9, 1)</f>
        <v>47362</v>
      </c>
      <c r="BR9" s="14">
        <f t="shared" ref="BR9" si="173">DATE(BI$5, 10, 1)</f>
        <v>47392</v>
      </c>
      <c r="BS9" s="14">
        <f t="shared" ref="BS9" si="174">DATE(BI$5, 11, 1)</f>
        <v>47423</v>
      </c>
      <c r="BT9" s="14">
        <f t="shared" ref="BT9" si="175">DATE(BI$5, 12, 1)</f>
        <v>47453</v>
      </c>
      <c r="BU9" s="13">
        <f t="shared" ref="BU9" si="176">BI$5</f>
        <v>2029</v>
      </c>
      <c r="BW9" s="14">
        <f t="shared" ref="BW9:EA9" si="177">DATE(BW$5, 1, 1)</f>
        <v>47484</v>
      </c>
      <c r="BX9" s="14">
        <f t="shared" ref="BX9" si="178">DATE(BW$5, 2, 1)</f>
        <v>47515</v>
      </c>
      <c r="BY9" s="14">
        <f t="shared" ref="BY9" si="179">DATE(BW$5, 3, 1)</f>
        <v>47543</v>
      </c>
      <c r="BZ9" s="14">
        <f t="shared" ref="BZ9" si="180">DATE(BW$5, 4, 1)</f>
        <v>47574</v>
      </c>
      <c r="CA9" s="14">
        <f t="shared" ref="CA9" si="181">DATE(BW$5, 5, 1)</f>
        <v>47604</v>
      </c>
      <c r="CB9" s="14">
        <f t="shared" ref="CB9" si="182">DATE(BW$5, 6, 1)</f>
        <v>47635</v>
      </c>
      <c r="CC9" s="14">
        <f t="shared" ref="CC9" si="183">DATE(BW$5, 7, 1)</f>
        <v>47665</v>
      </c>
      <c r="CD9" s="14">
        <f t="shared" ref="CD9" si="184">DATE(BW$5, 8, 1)</f>
        <v>47696</v>
      </c>
      <c r="CE9" s="14">
        <f t="shared" ref="CE9" si="185">DATE(BW$5, 9, 1)</f>
        <v>47727</v>
      </c>
      <c r="CF9" s="14">
        <f t="shared" ref="CF9" si="186">DATE(BW$5, 10, 1)</f>
        <v>47757</v>
      </c>
      <c r="CG9" s="14">
        <f t="shared" ref="CG9" si="187">DATE(BW$5, 11, 1)</f>
        <v>47788</v>
      </c>
      <c r="CH9" s="14">
        <f t="shared" ref="CH9" si="188">DATE(BW$5, 12, 1)</f>
        <v>47818</v>
      </c>
      <c r="CI9" s="13">
        <f t="shared" ref="CI9" si="189">BW$5</f>
        <v>2030</v>
      </c>
      <c r="CK9" s="14">
        <f t="shared" si="177"/>
        <v>47849</v>
      </c>
      <c r="CL9" s="14">
        <f t="shared" ref="CL9" si="190">DATE(CK$5, 2, 1)</f>
        <v>47880</v>
      </c>
      <c r="CM9" s="14">
        <f t="shared" ref="CM9" si="191">DATE(CK$5, 3, 1)</f>
        <v>47908</v>
      </c>
      <c r="CN9" s="14">
        <f t="shared" ref="CN9" si="192">DATE(CK$5, 4, 1)</f>
        <v>47939</v>
      </c>
      <c r="CO9" s="14">
        <f t="shared" ref="CO9" si="193">DATE(CK$5, 5, 1)</f>
        <v>47969</v>
      </c>
      <c r="CP9" s="14">
        <f t="shared" ref="CP9" si="194">DATE(CK$5, 6, 1)</f>
        <v>48000</v>
      </c>
      <c r="CQ9" s="14">
        <f t="shared" ref="CQ9" si="195">DATE(CK$5, 7, 1)</f>
        <v>48030</v>
      </c>
      <c r="CR9" s="14">
        <f t="shared" ref="CR9" si="196">DATE(CK$5, 8, 1)</f>
        <v>48061</v>
      </c>
      <c r="CS9" s="14">
        <f t="shared" ref="CS9" si="197">DATE(CK$5, 9, 1)</f>
        <v>48092</v>
      </c>
      <c r="CT9" s="14">
        <f t="shared" ref="CT9" si="198">DATE(CK$5, 10, 1)</f>
        <v>48122</v>
      </c>
      <c r="CU9" s="14">
        <f t="shared" ref="CU9" si="199">DATE(CK$5, 11, 1)</f>
        <v>48153</v>
      </c>
      <c r="CV9" s="14">
        <f t="shared" ref="CV9" si="200">DATE(CK$5, 12, 1)</f>
        <v>48183</v>
      </c>
      <c r="CW9" s="13">
        <f t="shared" ref="CW9" si="201">CK$5</f>
        <v>2031</v>
      </c>
      <c r="CY9" s="14">
        <f t="shared" si="177"/>
        <v>48214</v>
      </c>
      <c r="CZ9" s="14">
        <f t="shared" ref="CZ9" si="202">DATE(CY$5, 2, 1)</f>
        <v>48245</v>
      </c>
      <c r="DA9" s="14">
        <f t="shared" ref="DA9" si="203">DATE(CY$5, 3, 1)</f>
        <v>48274</v>
      </c>
      <c r="DB9" s="14">
        <f t="shared" ref="DB9" si="204">DATE(CY$5, 4, 1)</f>
        <v>48305</v>
      </c>
      <c r="DC9" s="14">
        <f t="shared" ref="DC9" si="205">DATE(CY$5, 5, 1)</f>
        <v>48335</v>
      </c>
      <c r="DD9" s="14">
        <f t="shared" ref="DD9" si="206">DATE(CY$5, 6, 1)</f>
        <v>48366</v>
      </c>
      <c r="DE9" s="14">
        <f t="shared" ref="DE9" si="207">DATE(CY$5, 7, 1)</f>
        <v>48396</v>
      </c>
      <c r="DF9" s="14">
        <f t="shared" ref="DF9" si="208">DATE(CY$5, 8, 1)</f>
        <v>48427</v>
      </c>
      <c r="DG9" s="14">
        <f t="shared" ref="DG9" si="209">DATE(CY$5, 9, 1)</f>
        <v>48458</v>
      </c>
      <c r="DH9" s="14">
        <f t="shared" ref="DH9" si="210">DATE(CY$5, 10, 1)</f>
        <v>48488</v>
      </c>
      <c r="DI9" s="14">
        <f t="shared" ref="DI9" si="211">DATE(CY$5, 11, 1)</f>
        <v>48519</v>
      </c>
      <c r="DJ9" s="14">
        <f t="shared" ref="DJ9" si="212">DATE(CY$5, 12, 1)</f>
        <v>48549</v>
      </c>
      <c r="DK9" s="13">
        <f t="shared" ref="DK9" si="213">CY$5</f>
        <v>2032</v>
      </c>
      <c r="DM9" s="14">
        <f t="shared" si="177"/>
        <v>48580</v>
      </c>
      <c r="DN9" s="14">
        <f t="shared" ref="DN9" si="214">DATE(DM$5, 2, 1)</f>
        <v>48611</v>
      </c>
      <c r="DO9" s="14">
        <f t="shared" ref="DO9" si="215">DATE(DM$5, 3, 1)</f>
        <v>48639</v>
      </c>
      <c r="DP9" s="14">
        <f t="shared" ref="DP9" si="216">DATE(DM$5, 4, 1)</f>
        <v>48670</v>
      </c>
      <c r="DQ9" s="14">
        <f t="shared" ref="DQ9" si="217">DATE(DM$5, 5, 1)</f>
        <v>48700</v>
      </c>
      <c r="DR9" s="14">
        <f t="shared" ref="DR9" si="218">DATE(DM$5, 6, 1)</f>
        <v>48731</v>
      </c>
      <c r="DS9" s="14">
        <f t="shared" ref="DS9" si="219">DATE(DM$5, 7, 1)</f>
        <v>48761</v>
      </c>
      <c r="DT9" s="14">
        <f t="shared" ref="DT9" si="220">DATE(DM$5, 8, 1)</f>
        <v>48792</v>
      </c>
      <c r="DU9" s="14">
        <f t="shared" ref="DU9" si="221">DATE(DM$5, 9, 1)</f>
        <v>48823</v>
      </c>
      <c r="DV9" s="14">
        <f t="shared" ref="DV9" si="222">DATE(DM$5, 10, 1)</f>
        <v>48853</v>
      </c>
      <c r="DW9" s="14">
        <f t="shared" ref="DW9" si="223">DATE(DM$5, 11, 1)</f>
        <v>48884</v>
      </c>
      <c r="DX9" s="14">
        <f t="shared" ref="DX9" si="224">DATE(DM$5, 12, 1)</f>
        <v>48914</v>
      </c>
      <c r="DY9" s="13">
        <f t="shared" ref="DY9" si="225">DM$5</f>
        <v>2033</v>
      </c>
      <c r="EA9" s="14">
        <f t="shared" si="177"/>
        <v>48945</v>
      </c>
      <c r="EB9" s="14">
        <f t="shared" ref="EB9" si="226">DATE(EA$5, 2, 1)</f>
        <v>48976</v>
      </c>
      <c r="EC9" s="14">
        <f t="shared" ref="EC9" si="227">DATE(EA$5, 3, 1)</f>
        <v>49004</v>
      </c>
      <c r="ED9" s="14">
        <f t="shared" ref="ED9" si="228">DATE(EA$5, 4, 1)</f>
        <v>49035</v>
      </c>
      <c r="EE9" s="14">
        <f t="shared" ref="EE9" si="229">DATE(EA$5, 5, 1)</f>
        <v>49065</v>
      </c>
      <c r="EF9" s="14">
        <f t="shared" ref="EF9" si="230">DATE(EA$5, 6, 1)</f>
        <v>49096</v>
      </c>
      <c r="EG9" s="14">
        <f t="shared" ref="EG9" si="231">DATE(EA$5, 7, 1)</f>
        <v>49126</v>
      </c>
      <c r="EH9" s="14">
        <f t="shared" ref="EH9" si="232">DATE(EA$5, 8, 1)</f>
        <v>49157</v>
      </c>
      <c r="EI9" s="14">
        <f t="shared" ref="EI9" si="233">DATE(EA$5, 9, 1)</f>
        <v>49188</v>
      </c>
      <c r="EJ9" s="14">
        <f t="shared" ref="EJ9" si="234">DATE(EA$5, 10, 1)</f>
        <v>49218</v>
      </c>
      <c r="EK9" s="14">
        <f t="shared" ref="EK9" si="235">DATE(EA$5, 11, 1)</f>
        <v>49249</v>
      </c>
      <c r="EL9" s="14">
        <f t="shared" ref="EL9" si="236">DATE(EA$5, 12, 1)</f>
        <v>49279</v>
      </c>
      <c r="EM9" s="13">
        <f t="shared" ref="EM9" si="237">EA$5</f>
        <v>2034</v>
      </c>
      <c r="EO9" s="14">
        <f t="shared" ref="EO9" si="238">DATE(EO$5, 1, 1)</f>
        <v>49310</v>
      </c>
      <c r="EP9" s="14">
        <f t="shared" ref="EP9" si="239">DATE(EO$5, 2, 1)</f>
        <v>49341</v>
      </c>
      <c r="EQ9" s="14">
        <f t="shared" ref="EQ9" si="240">DATE(EO$5, 3, 1)</f>
        <v>49369</v>
      </c>
      <c r="ER9" s="14">
        <f t="shared" ref="ER9" si="241">DATE(EO$5, 4, 1)</f>
        <v>49400</v>
      </c>
      <c r="ES9" s="14">
        <f t="shared" ref="ES9" si="242">DATE(EO$5, 5, 1)</f>
        <v>49430</v>
      </c>
      <c r="ET9" s="14">
        <f t="shared" ref="ET9" si="243">DATE(EO$5, 6, 1)</f>
        <v>49461</v>
      </c>
      <c r="EU9" s="14">
        <f t="shared" ref="EU9" si="244">DATE(EO$5, 7, 1)</f>
        <v>49491</v>
      </c>
      <c r="EV9" s="14">
        <f t="shared" ref="EV9" si="245">DATE(EO$5, 8, 1)</f>
        <v>49522</v>
      </c>
      <c r="EW9" s="14">
        <f t="shared" ref="EW9" si="246">DATE(EO$5, 9, 1)</f>
        <v>49553</v>
      </c>
      <c r="EX9" s="14">
        <f t="shared" ref="EX9" si="247">DATE(EO$5, 10, 1)</f>
        <v>49583</v>
      </c>
      <c r="EY9" s="14">
        <f t="shared" ref="EY9" si="248">DATE(EO$5, 11, 1)</f>
        <v>49614</v>
      </c>
      <c r="EZ9" s="14">
        <f t="shared" ref="EZ9" si="249">DATE(EO$5, 12, 1)</f>
        <v>49644</v>
      </c>
      <c r="FA9" s="13">
        <f t="shared" ref="FA9" si="250">EO$5</f>
        <v>2035</v>
      </c>
    </row>
    <row r="10" spans="3:157" x14ac:dyDescent="0.25">
      <c r="C10" s="16" t="s">
        <v>32</v>
      </c>
      <c r="E10" s="104">
        <v>3500</v>
      </c>
      <c r="F10" s="104">
        <v>3500</v>
      </c>
      <c r="G10" s="104">
        <v>3500</v>
      </c>
      <c r="H10" s="104">
        <v>4500</v>
      </c>
      <c r="I10" s="104">
        <v>4500</v>
      </c>
      <c r="J10" s="104">
        <v>4500</v>
      </c>
      <c r="K10" s="104">
        <v>4500</v>
      </c>
      <c r="L10" s="104">
        <v>4500</v>
      </c>
      <c r="M10" s="104">
        <v>4500</v>
      </c>
      <c r="N10" s="104">
        <v>4500</v>
      </c>
      <c r="O10" s="104">
        <v>4500</v>
      </c>
      <c r="P10" s="104">
        <v>4500</v>
      </c>
      <c r="Q10" s="105">
        <f>SUM(E10:P10)</f>
        <v>51000</v>
      </c>
      <c r="S10" s="104"/>
      <c r="T10" s="104"/>
      <c r="U10" s="104"/>
      <c r="V10" s="104"/>
      <c r="W10" s="104"/>
      <c r="X10" s="104"/>
      <c r="Y10" s="104"/>
      <c r="Z10" s="104"/>
      <c r="AA10" s="104"/>
      <c r="AB10" s="104"/>
      <c r="AC10" s="104"/>
      <c r="AD10" s="104"/>
      <c r="AE10" s="105">
        <f>SUM(S10:AD10)</f>
        <v>0</v>
      </c>
      <c r="AG10" s="104"/>
      <c r="AH10" s="104"/>
      <c r="AI10" s="104"/>
      <c r="AJ10" s="104"/>
      <c r="AK10" s="104"/>
      <c r="AL10" s="104"/>
      <c r="AM10" s="104"/>
      <c r="AN10" s="104"/>
      <c r="AO10" s="104"/>
      <c r="AP10" s="104"/>
      <c r="AQ10" s="104"/>
      <c r="AR10" s="104"/>
      <c r="AS10" s="105">
        <f t="shared" ref="AS10:AS19" si="251">SUM(AG10:AR10)</f>
        <v>0</v>
      </c>
      <c r="AU10" s="104"/>
      <c r="AV10" s="104"/>
      <c r="AW10" s="104"/>
      <c r="AX10" s="104"/>
      <c r="AY10" s="104"/>
      <c r="AZ10" s="104"/>
      <c r="BA10" s="104"/>
      <c r="BB10" s="104"/>
      <c r="BC10" s="104"/>
      <c r="BD10" s="104"/>
      <c r="BE10" s="104"/>
      <c r="BF10" s="104"/>
      <c r="BG10" s="105">
        <f t="shared" ref="BG10:BG19" si="252">SUM(AU10:BF10)</f>
        <v>0</v>
      </c>
      <c r="BI10" s="104"/>
      <c r="BJ10" s="104"/>
      <c r="BK10" s="104"/>
      <c r="BL10" s="104"/>
      <c r="BM10" s="104"/>
      <c r="BN10" s="104"/>
      <c r="BO10" s="104"/>
      <c r="BP10" s="104"/>
      <c r="BQ10" s="104"/>
      <c r="BR10" s="104"/>
      <c r="BS10" s="104"/>
      <c r="BT10" s="104"/>
      <c r="BU10" s="105">
        <f t="shared" ref="BU10:BU19" si="253">SUM(BI10:BT10)</f>
        <v>0</v>
      </c>
      <c r="BW10" s="104"/>
      <c r="BX10" s="104"/>
      <c r="BY10" s="104"/>
      <c r="BZ10" s="104"/>
      <c r="CA10" s="104"/>
      <c r="CB10" s="104"/>
      <c r="CC10" s="104"/>
      <c r="CD10" s="104"/>
      <c r="CE10" s="104"/>
      <c r="CF10" s="104"/>
      <c r="CG10" s="104"/>
      <c r="CH10" s="104"/>
      <c r="CI10" s="105">
        <f t="shared" ref="CI10:CI19" si="254">SUM(BW10:CH10)</f>
        <v>0</v>
      </c>
      <c r="CK10" s="104"/>
      <c r="CL10" s="104"/>
      <c r="CM10" s="104"/>
      <c r="CN10" s="104"/>
      <c r="CO10" s="104"/>
      <c r="CP10" s="104"/>
      <c r="CQ10" s="104"/>
      <c r="CR10" s="104"/>
      <c r="CS10" s="104"/>
      <c r="CT10" s="104"/>
      <c r="CU10" s="104"/>
      <c r="CV10" s="104"/>
      <c r="CW10" s="105">
        <f t="shared" ref="CW10:CW19" si="255">SUM(CK10:CV10)</f>
        <v>0</v>
      </c>
      <c r="CY10" s="104"/>
      <c r="CZ10" s="104"/>
      <c r="DA10" s="104"/>
      <c r="DB10" s="104"/>
      <c r="DC10" s="104"/>
      <c r="DD10" s="104"/>
      <c r="DE10" s="104"/>
      <c r="DF10" s="104"/>
      <c r="DG10" s="104"/>
      <c r="DH10" s="104"/>
      <c r="DI10" s="104"/>
      <c r="DJ10" s="104"/>
      <c r="DK10" s="105">
        <f t="shared" ref="DK10:DK19" si="256">SUM(CY10:DJ10)</f>
        <v>0</v>
      </c>
      <c r="DM10" s="104"/>
      <c r="DN10" s="104"/>
      <c r="DO10" s="104"/>
      <c r="DP10" s="104"/>
      <c r="DQ10" s="104"/>
      <c r="DR10" s="104"/>
      <c r="DS10" s="104"/>
      <c r="DT10" s="104"/>
      <c r="DU10" s="104"/>
      <c r="DV10" s="104"/>
      <c r="DW10" s="104"/>
      <c r="DX10" s="104"/>
      <c r="DY10" s="105">
        <f t="shared" ref="DY10:DY19" si="257">SUM(DM10:DX10)</f>
        <v>0</v>
      </c>
      <c r="EA10" s="104"/>
      <c r="EB10" s="104"/>
      <c r="EC10" s="104"/>
      <c r="ED10" s="104"/>
      <c r="EE10" s="104"/>
      <c r="EF10" s="104"/>
      <c r="EG10" s="104"/>
      <c r="EH10" s="104"/>
      <c r="EI10" s="104"/>
      <c r="EJ10" s="104"/>
      <c r="EK10" s="104"/>
      <c r="EL10" s="104"/>
      <c r="EM10" s="105">
        <f t="shared" ref="EM10:EM19" si="258">SUM(EA10:EL10)</f>
        <v>0</v>
      </c>
      <c r="EO10" s="104"/>
      <c r="EP10" s="104"/>
      <c r="EQ10" s="104"/>
      <c r="ER10" s="104"/>
      <c r="ES10" s="104"/>
      <c r="ET10" s="104"/>
      <c r="EU10" s="104"/>
      <c r="EV10" s="104"/>
      <c r="EW10" s="104"/>
      <c r="EX10" s="104"/>
      <c r="EY10" s="104"/>
      <c r="EZ10" s="104"/>
      <c r="FA10" s="105">
        <f t="shared" ref="FA10:FA19" si="259">SUM(EO10:EZ10)</f>
        <v>0</v>
      </c>
    </row>
    <row r="11" spans="3:157" x14ac:dyDescent="0.25">
      <c r="C11" s="16" t="s">
        <v>33</v>
      </c>
      <c r="E11" s="104">
        <v>1000</v>
      </c>
      <c r="F11" s="104">
        <v>1000</v>
      </c>
      <c r="G11" s="104">
        <v>1000</v>
      </c>
      <c r="H11" s="104">
        <v>1000</v>
      </c>
      <c r="I11" s="104">
        <v>1000</v>
      </c>
      <c r="J11" s="104">
        <v>1000</v>
      </c>
      <c r="K11" s="104">
        <v>1000</v>
      </c>
      <c r="L11" s="104">
        <v>1000</v>
      </c>
      <c r="M11" s="104">
        <v>1000</v>
      </c>
      <c r="N11" s="104">
        <v>1000</v>
      </c>
      <c r="O11" s="104">
        <v>1000</v>
      </c>
      <c r="P11" s="104">
        <v>1000</v>
      </c>
      <c r="Q11" s="105">
        <f t="shared" ref="Q11:Q19" si="260">SUM(E11:P11)</f>
        <v>12000</v>
      </c>
      <c r="S11" s="104"/>
      <c r="T11" s="104"/>
      <c r="U11" s="104"/>
      <c r="V11" s="104"/>
      <c r="W11" s="104"/>
      <c r="X11" s="104"/>
      <c r="Y11" s="104"/>
      <c r="Z11" s="104"/>
      <c r="AA11" s="104"/>
      <c r="AB11" s="104"/>
      <c r="AC11" s="104"/>
      <c r="AD11" s="104"/>
      <c r="AE11" s="105">
        <f t="shared" ref="AE11:AE19" si="261">SUM(S11:AD11)</f>
        <v>0</v>
      </c>
      <c r="AG11" s="104"/>
      <c r="AH11" s="104"/>
      <c r="AI11" s="104"/>
      <c r="AJ11" s="104"/>
      <c r="AK11" s="104"/>
      <c r="AL11" s="104"/>
      <c r="AM11" s="104"/>
      <c r="AN11" s="104"/>
      <c r="AO11" s="104"/>
      <c r="AP11" s="104"/>
      <c r="AQ11" s="104"/>
      <c r="AR11" s="104"/>
      <c r="AS11" s="105">
        <f t="shared" si="251"/>
        <v>0</v>
      </c>
      <c r="AU11" s="104"/>
      <c r="AV11" s="104"/>
      <c r="AW11" s="104"/>
      <c r="AX11" s="104"/>
      <c r="AY11" s="104"/>
      <c r="AZ11" s="104"/>
      <c r="BA11" s="104"/>
      <c r="BB11" s="104"/>
      <c r="BC11" s="104"/>
      <c r="BD11" s="104"/>
      <c r="BE11" s="104"/>
      <c r="BF11" s="104"/>
      <c r="BG11" s="105">
        <f t="shared" si="252"/>
        <v>0</v>
      </c>
      <c r="BI11" s="104"/>
      <c r="BJ11" s="104"/>
      <c r="BK11" s="104"/>
      <c r="BL11" s="104"/>
      <c r="BM11" s="104"/>
      <c r="BN11" s="104"/>
      <c r="BO11" s="104"/>
      <c r="BP11" s="104"/>
      <c r="BQ11" s="104"/>
      <c r="BR11" s="104"/>
      <c r="BS11" s="104"/>
      <c r="BT11" s="104"/>
      <c r="BU11" s="105">
        <f t="shared" si="253"/>
        <v>0</v>
      </c>
      <c r="BW11" s="104"/>
      <c r="BX11" s="104"/>
      <c r="BY11" s="104"/>
      <c r="BZ11" s="104"/>
      <c r="CA11" s="104"/>
      <c r="CB11" s="104"/>
      <c r="CC11" s="104"/>
      <c r="CD11" s="104"/>
      <c r="CE11" s="104"/>
      <c r="CF11" s="104"/>
      <c r="CG11" s="104"/>
      <c r="CH11" s="104"/>
      <c r="CI11" s="105">
        <f t="shared" si="254"/>
        <v>0</v>
      </c>
      <c r="CK11" s="104"/>
      <c r="CL11" s="104"/>
      <c r="CM11" s="104"/>
      <c r="CN11" s="104"/>
      <c r="CO11" s="104"/>
      <c r="CP11" s="104"/>
      <c r="CQ11" s="104"/>
      <c r="CR11" s="104"/>
      <c r="CS11" s="104"/>
      <c r="CT11" s="104"/>
      <c r="CU11" s="104"/>
      <c r="CV11" s="104"/>
      <c r="CW11" s="105">
        <f t="shared" si="255"/>
        <v>0</v>
      </c>
      <c r="CY11" s="104"/>
      <c r="CZ11" s="104"/>
      <c r="DA11" s="104"/>
      <c r="DB11" s="104"/>
      <c r="DC11" s="104"/>
      <c r="DD11" s="104"/>
      <c r="DE11" s="104"/>
      <c r="DF11" s="104"/>
      <c r="DG11" s="104"/>
      <c r="DH11" s="104"/>
      <c r="DI11" s="104"/>
      <c r="DJ11" s="104"/>
      <c r="DK11" s="105">
        <f t="shared" si="256"/>
        <v>0</v>
      </c>
      <c r="DM11" s="104"/>
      <c r="DN11" s="104"/>
      <c r="DO11" s="104"/>
      <c r="DP11" s="104"/>
      <c r="DQ11" s="104"/>
      <c r="DR11" s="104"/>
      <c r="DS11" s="104"/>
      <c r="DT11" s="104"/>
      <c r="DU11" s="104"/>
      <c r="DV11" s="104"/>
      <c r="DW11" s="104"/>
      <c r="DX11" s="104"/>
      <c r="DY11" s="105">
        <f t="shared" si="257"/>
        <v>0</v>
      </c>
      <c r="EA11" s="104"/>
      <c r="EB11" s="104"/>
      <c r="EC11" s="104"/>
      <c r="ED11" s="104"/>
      <c r="EE11" s="104"/>
      <c r="EF11" s="104"/>
      <c r="EG11" s="104"/>
      <c r="EH11" s="104"/>
      <c r="EI11" s="104"/>
      <c r="EJ11" s="104"/>
      <c r="EK11" s="104"/>
      <c r="EL11" s="104"/>
      <c r="EM11" s="105">
        <f t="shared" si="258"/>
        <v>0</v>
      </c>
      <c r="EO11" s="104"/>
      <c r="EP11" s="104"/>
      <c r="EQ11" s="104"/>
      <c r="ER11" s="104"/>
      <c r="ES11" s="104"/>
      <c r="ET11" s="104"/>
      <c r="EU11" s="104"/>
      <c r="EV11" s="104"/>
      <c r="EW11" s="104"/>
      <c r="EX11" s="104"/>
      <c r="EY11" s="104"/>
      <c r="EZ11" s="104"/>
      <c r="FA11" s="105">
        <f t="shared" si="259"/>
        <v>0</v>
      </c>
    </row>
    <row r="12" spans="3:157" x14ac:dyDescent="0.25">
      <c r="C12" s="16" t="s">
        <v>7</v>
      </c>
      <c r="E12" s="104">
        <v>150</v>
      </c>
      <c r="F12" s="104">
        <v>50</v>
      </c>
      <c r="G12" s="104">
        <v>100</v>
      </c>
      <c r="H12" s="104">
        <v>150</v>
      </c>
      <c r="I12" s="104">
        <v>50</v>
      </c>
      <c r="J12" s="104">
        <v>100</v>
      </c>
      <c r="K12" s="104">
        <v>150</v>
      </c>
      <c r="L12" s="104">
        <v>50</v>
      </c>
      <c r="M12" s="104">
        <v>100</v>
      </c>
      <c r="N12" s="104">
        <v>150</v>
      </c>
      <c r="O12" s="104">
        <v>50</v>
      </c>
      <c r="P12" s="104">
        <v>100</v>
      </c>
      <c r="Q12" s="105">
        <f t="shared" si="260"/>
        <v>1200</v>
      </c>
      <c r="S12" s="104"/>
      <c r="T12" s="104"/>
      <c r="U12" s="104"/>
      <c r="V12" s="104"/>
      <c r="W12" s="104"/>
      <c r="X12" s="104"/>
      <c r="Y12" s="104"/>
      <c r="Z12" s="104"/>
      <c r="AA12" s="104"/>
      <c r="AB12" s="104"/>
      <c r="AC12" s="104"/>
      <c r="AD12" s="104"/>
      <c r="AE12" s="105">
        <f t="shared" si="261"/>
        <v>0</v>
      </c>
      <c r="AG12" s="104"/>
      <c r="AH12" s="104"/>
      <c r="AI12" s="104"/>
      <c r="AJ12" s="104"/>
      <c r="AK12" s="104"/>
      <c r="AL12" s="104"/>
      <c r="AM12" s="104"/>
      <c r="AN12" s="104"/>
      <c r="AO12" s="104"/>
      <c r="AP12" s="104"/>
      <c r="AQ12" s="104"/>
      <c r="AR12" s="104"/>
      <c r="AS12" s="105">
        <f t="shared" si="251"/>
        <v>0</v>
      </c>
      <c r="AU12" s="104"/>
      <c r="AV12" s="104"/>
      <c r="AW12" s="104"/>
      <c r="AX12" s="104"/>
      <c r="AY12" s="104"/>
      <c r="AZ12" s="104"/>
      <c r="BA12" s="104"/>
      <c r="BB12" s="104"/>
      <c r="BC12" s="104"/>
      <c r="BD12" s="104"/>
      <c r="BE12" s="104"/>
      <c r="BF12" s="104"/>
      <c r="BG12" s="105">
        <f t="shared" si="252"/>
        <v>0</v>
      </c>
      <c r="BI12" s="104"/>
      <c r="BJ12" s="104"/>
      <c r="BK12" s="104"/>
      <c r="BL12" s="104"/>
      <c r="BM12" s="104"/>
      <c r="BN12" s="104"/>
      <c r="BO12" s="104"/>
      <c r="BP12" s="104"/>
      <c r="BQ12" s="104"/>
      <c r="BR12" s="104"/>
      <c r="BS12" s="104"/>
      <c r="BT12" s="104"/>
      <c r="BU12" s="105">
        <f t="shared" si="253"/>
        <v>0</v>
      </c>
      <c r="BW12" s="104"/>
      <c r="BX12" s="104"/>
      <c r="BY12" s="104"/>
      <c r="BZ12" s="104"/>
      <c r="CA12" s="104"/>
      <c r="CB12" s="104"/>
      <c r="CC12" s="104"/>
      <c r="CD12" s="104"/>
      <c r="CE12" s="104"/>
      <c r="CF12" s="104"/>
      <c r="CG12" s="104"/>
      <c r="CH12" s="104"/>
      <c r="CI12" s="105">
        <f t="shared" si="254"/>
        <v>0</v>
      </c>
      <c r="CK12" s="104"/>
      <c r="CL12" s="104"/>
      <c r="CM12" s="104"/>
      <c r="CN12" s="104"/>
      <c r="CO12" s="104"/>
      <c r="CP12" s="104"/>
      <c r="CQ12" s="104"/>
      <c r="CR12" s="104"/>
      <c r="CS12" s="104"/>
      <c r="CT12" s="104"/>
      <c r="CU12" s="104"/>
      <c r="CV12" s="104"/>
      <c r="CW12" s="105">
        <f t="shared" si="255"/>
        <v>0</v>
      </c>
      <c r="CY12" s="104"/>
      <c r="CZ12" s="104"/>
      <c r="DA12" s="104"/>
      <c r="DB12" s="104"/>
      <c r="DC12" s="104"/>
      <c r="DD12" s="104"/>
      <c r="DE12" s="104"/>
      <c r="DF12" s="104"/>
      <c r="DG12" s="104"/>
      <c r="DH12" s="104"/>
      <c r="DI12" s="104"/>
      <c r="DJ12" s="104"/>
      <c r="DK12" s="105">
        <f t="shared" si="256"/>
        <v>0</v>
      </c>
      <c r="DM12" s="104"/>
      <c r="DN12" s="104"/>
      <c r="DO12" s="104"/>
      <c r="DP12" s="104"/>
      <c r="DQ12" s="104"/>
      <c r="DR12" s="104"/>
      <c r="DS12" s="104"/>
      <c r="DT12" s="104"/>
      <c r="DU12" s="104"/>
      <c r="DV12" s="104"/>
      <c r="DW12" s="104"/>
      <c r="DX12" s="104"/>
      <c r="DY12" s="105">
        <f t="shared" si="257"/>
        <v>0</v>
      </c>
      <c r="EA12" s="104"/>
      <c r="EB12" s="104"/>
      <c r="EC12" s="104"/>
      <c r="ED12" s="104"/>
      <c r="EE12" s="104"/>
      <c r="EF12" s="104"/>
      <c r="EG12" s="104"/>
      <c r="EH12" s="104"/>
      <c r="EI12" s="104"/>
      <c r="EJ12" s="104"/>
      <c r="EK12" s="104"/>
      <c r="EL12" s="104"/>
      <c r="EM12" s="105">
        <f t="shared" si="258"/>
        <v>0</v>
      </c>
      <c r="EO12" s="104"/>
      <c r="EP12" s="104"/>
      <c r="EQ12" s="104"/>
      <c r="ER12" s="104"/>
      <c r="ES12" s="104"/>
      <c r="ET12" s="104"/>
      <c r="EU12" s="104"/>
      <c r="EV12" s="104"/>
      <c r="EW12" s="104"/>
      <c r="EX12" s="104"/>
      <c r="EY12" s="104"/>
      <c r="EZ12" s="104"/>
      <c r="FA12" s="105">
        <f t="shared" si="259"/>
        <v>0</v>
      </c>
    </row>
    <row r="13" spans="3:157" hidden="1" x14ac:dyDescent="0.25">
      <c r="C13" s="16" t="s">
        <v>5</v>
      </c>
      <c r="E13" s="104"/>
      <c r="F13" s="104"/>
      <c r="G13" s="104"/>
      <c r="H13" s="104"/>
      <c r="I13" s="104"/>
      <c r="J13" s="104"/>
      <c r="K13" s="104"/>
      <c r="L13" s="104"/>
      <c r="M13" s="104"/>
      <c r="N13" s="104"/>
      <c r="O13" s="104"/>
      <c r="P13" s="104"/>
      <c r="Q13" s="105">
        <f t="shared" si="260"/>
        <v>0</v>
      </c>
      <c r="S13" s="104"/>
      <c r="T13" s="104"/>
      <c r="U13" s="104"/>
      <c r="V13" s="104"/>
      <c r="W13" s="104"/>
      <c r="X13" s="104"/>
      <c r="Y13" s="104"/>
      <c r="Z13" s="104"/>
      <c r="AA13" s="104"/>
      <c r="AB13" s="104"/>
      <c r="AC13" s="104"/>
      <c r="AD13" s="104"/>
      <c r="AE13" s="105">
        <f t="shared" si="261"/>
        <v>0</v>
      </c>
      <c r="AG13" s="104"/>
      <c r="AH13" s="104"/>
      <c r="AI13" s="104"/>
      <c r="AJ13" s="104"/>
      <c r="AK13" s="104"/>
      <c r="AL13" s="104"/>
      <c r="AM13" s="104"/>
      <c r="AN13" s="104"/>
      <c r="AO13" s="104"/>
      <c r="AP13" s="104"/>
      <c r="AQ13" s="104"/>
      <c r="AR13" s="104"/>
      <c r="AS13" s="105">
        <f t="shared" si="251"/>
        <v>0</v>
      </c>
      <c r="AU13" s="104"/>
      <c r="AV13" s="104"/>
      <c r="AW13" s="104"/>
      <c r="AX13" s="104"/>
      <c r="AY13" s="104"/>
      <c r="AZ13" s="104"/>
      <c r="BA13" s="104"/>
      <c r="BB13" s="104"/>
      <c r="BC13" s="104"/>
      <c r="BD13" s="104"/>
      <c r="BE13" s="104"/>
      <c r="BF13" s="104"/>
      <c r="BG13" s="105">
        <f t="shared" si="252"/>
        <v>0</v>
      </c>
      <c r="BI13" s="104"/>
      <c r="BJ13" s="104"/>
      <c r="BK13" s="104"/>
      <c r="BL13" s="104"/>
      <c r="BM13" s="104"/>
      <c r="BN13" s="104"/>
      <c r="BO13" s="104"/>
      <c r="BP13" s="104"/>
      <c r="BQ13" s="104"/>
      <c r="BR13" s="104"/>
      <c r="BS13" s="104"/>
      <c r="BT13" s="104"/>
      <c r="BU13" s="105">
        <f t="shared" si="253"/>
        <v>0</v>
      </c>
      <c r="BW13" s="104"/>
      <c r="BX13" s="104"/>
      <c r="BY13" s="104"/>
      <c r="BZ13" s="104"/>
      <c r="CA13" s="104"/>
      <c r="CB13" s="104"/>
      <c r="CC13" s="104"/>
      <c r="CD13" s="104"/>
      <c r="CE13" s="104"/>
      <c r="CF13" s="104"/>
      <c r="CG13" s="104"/>
      <c r="CH13" s="104"/>
      <c r="CI13" s="105">
        <f t="shared" si="254"/>
        <v>0</v>
      </c>
      <c r="CK13" s="104"/>
      <c r="CL13" s="104"/>
      <c r="CM13" s="104"/>
      <c r="CN13" s="104"/>
      <c r="CO13" s="104"/>
      <c r="CP13" s="104"/>
      <c r="CQ13" s="104"/>
      <c r="CR13" s="104"/>
      <c r="CS13" s="104"/>
      <c r="CT13" s="104"/>
      <c r="CU13" s="104"/>
      <c r="CV13" s="104"/>
      <c r="CW13" s="105">
        <f t="shared" si="255"/>
        <v>0</v>
      </c>
      <c r="CY13" s="104"/>
      <c r="CZ13" s="104"/>
      <c r="DA13" s="104"/>
      <c r="DB13" s="104"/>
      <c r="DC13" s="104"/>
      <c r="DD13" s="104"/>
      <c r="DE13" s="104"/>
      <c r="DF13" s="104"/>
      <c r="DG13" s="104"/>
      <c r="DH13" s="104"/>
      <c r="DI13" s="104"/>
      <c r="DJ13" s="104"/>
      <c r="DK13" s="105">
        <f t="shared" si="256"/>
        <v>0</v>
      </c>
      <c r="DM13" s="104"/>
      <c r="DN13" s="104"/>
      <c r="DO13" s="104"/>
      <c r="DP13" s="104"/>
      <c r="DQ13" s="104"/>
      <c r="DR13" s="104"/>
      <c r="DS13" s="104"/>
      <c r="DT13" s="104"/>
      <c r="DU13" s="104"/>
      <c r="DV13" s="104"/>
      <c r="DW13" s="104"/>
      <c r="DX13" s="104"/>
      <c r="DY13" s="105">
        <f t="shared" si="257"/>
        <v>0</v>
      </c>
      <c r="EA13" s="104"/>
      <c r="EB13" s="104"/>
      <c r="EC13" s="104"/>
      <c r="ED13" s="104"/>
      <c r="EE13" s="104"/>
      <c r="EF13" s="104"/>
      <c r="EG13" s="104"/>
      <c r="EH13" s="104"/>
      <c r="EI13" s="104"/>
      <c r="EJ13" s="104"/>
      <c r="EK13" s="104"/>
      <c r="EL13" s="104"/>
      <c r="EM13" s="105">
        <f t="shared" si="258"/>
        <v>0</v>
      </c>
      <c r="EO13" s="104"/>
      <c r="EP13" s="104"/>
      <c r="EQ13" s="104"/>
      <c r="ER13" s="104"/>
      <c r="ES13" s="104"/>
      <c r="ET13" s="104"/>
      <c r="EU13" s="104"/>
      <c r="EV13" s="104"/>
      <c r="EW13" s="104"/>
      <c r="EX13" s="104"/>
      <c r="EY13" s="104"/>
      <c r="EZ13" s="104"/>
      <c r="FA13" s="105">
        <f t="shared" si="259"/>
        <v>0</v>
      </c>
    </row>
    <row r="14" spans="3:157" hidden="1" x14ac:dyDescent="0.25">
      <c r="C14" s="16" t="s">
        <v>5</v>
      </c>
      <c r="E14" s="104"/>
      <c r="F14" s="104"/>
      <c r="G14" s="104"/>
      <c r="H14" s="104"/>
      <c r="I14" s="104"/>
      <c r="J14" s="104"/>
      <c r="K14" s="104"/>
      <c r="L14" s="104"/>
      <c r="M14" s="104"/>
      <c r="N14" s="104"/>
      <c r="O14" s="104"/>
      <c r="P14" s="104"/>
      <c r="Q14" s="105">
        <f t="shared" si="260"/>
        <v>0</v>
      </c>
      <c r="S14" s="104"/>
      <c r="T14" s="104"/>
      <c r="U14" s="104"/>
      <c r="V14" s="104"/>
      <c r="W14" s="104"/>
      <c r="X14" s="104"/>
      <c r="Y14" s="104"/>
      <c r="Z14" s="104"/>
      <c r="AA14" s="104"/>
      <c r="AB14" s="104"/>
      <c r="AC14" s="104"/>
      <c r="AD14" s="104"/>
      <c r="AE14" s="105">
        <f t="shared" si="261"/>
        <v>0</v>
      </c>
      <c r="AG14" s="104"/>
      <c r="AH14" s="104"/>
      <c r="AI14" s="104"/>
      <c r="AJ14" s="104"/>
      <c r="AK14" s="104"/>
      <c r="AL14" s="104"/>
      <c r="AM14" s="104"/>
      <c r="AN14" s="104"/>
      <c r="AO14" s="104"/>
      <c r="AP14" s="104"/>
      <c r="AQ14" s="104"/>
      <c r="AR14" s="104"/>
      <c r="AS14" s="105">
        <f t="shared" si="251"/>
        <v>0</v>
      </c>
      <c r="AU14" s="104"/>
      <c r="AV14" s="104"/>
      <c r="AW14" s="104"/>
      <c r="AX14" s="104"/>
      <c r="AY14" s="104"/>
      <c r="AZ14" s="104"/>
      <c r="BA14" s="104"/>
      <c r="BB14" s="104"/>
      <c r="BC14" s="104"/>
      <c r="BD14" s="104"/>
      <c r="BE14" s="104"/>
      <c r="BF14" s="104"/>
      <c r="BG14" s="105">
        <f t="shared" si="252"/>
        <v>0</v>
      </c>
      <c r="BI14" s="104"/>
      <c r="BJ14" s="104"/>
      <c r="BK14" s="104"/>
      <c r="BL14" s="104"/>
      <c r="BM14" s="104"/>
      <c r="BN14" s="104"/>
      <c r="BO14" s="104"/>
      <c r="BP14" s="104"/>
      <c r="BQ14" s="104"/>
      <c r="BR14" s="104"/>
      <c r="BS14" s="104"/>
      <c r="BT14" s="104"/>
      <c r="BU14" s="105">
        <f t="shared" si="253"/>
        <v>0</v>
      </c>
      <c r="BW14" s="104"/>
      <c r="BX14" s="104"/>
      <c r="BY14" s="104"/>
      <c r="BZ14" s="104"/>
      <c r="CA14" s="104"/>
      <c r="CB14" s="104"/>
      <c r="CC14" s="104"/>
      <c r="CD14" s="104"/>
      <c r="CE14" s="104"/>
      <c r="CF14" s="104"/>
      <c r="CG14" s="104"/>
      <c r="CH14" s="104"/>
      <c r="CI14" s="105">
        <f t="shared" si="254"/>
        <v>0</v>
      </c>
      <c r="CK14" s="104"/>
      <c r="CL14" s="104"/>
      <c r="CM14" s="104"/>
      <c r="CN14" s="104"/>
      <c r="CO14" s="104"/>
      <c r="CP14" s="104"/>
      <c r="CQ14" s="104"/>
      <c r="CR14" s="104"/>
      <c r="CS14" s="104"/>
      <c r="CT14" s="104"/>
      <c r="CU14" s="104"/>
      <c r="CV14" s="104"/>
      <c r="CW14" s="105">
        <f t="shared" si="255"/>
        <v>0</v>
      </c>
      <c r="CY14" s="104"/>
      <c r="CZ14" s="104"/>
      <c r="DA14" s="104"/>
      <c r="DB14" s="104"/>
      <c r="DC14" s="104"/>
      <c r="DD14" s="104"/>
      <c r="DE14" s="104"/>
      <c r="DF14" s="104"/>
      <c r="DG14" s="104"/>
      <c r="DH14" s="104"/>
      <c r="DI14" s="104"/>
      <c r="DJ14" s="104"/>
      <c r="DK14" s="105">
        <f t="shared" si="256"/>
        <v>0</v>
      </c>
      <c r="DM14" s="104"/>
      <c r="DN14" s="104"/>
      <c r="DO14" s="104"/>
      <c r="DP14" s="104"/>
      <c r="DQ14" s="104"/>
      <c r="DR14" s="104"/>
      <c r="DS14" s="104"/>
      <c r="DT14" s="104"/>
      <c r="DU14" s="104"/>
      <c r="DV14" s="104"/>
      <c r="DW14" s="104"/>
      <c r="DX14" s="104"/>
      <c r="DY14" s="105">
        <f t="shared" si="257"/>
        <v>0</v>
      </c>
      <c r="EA14" s="104"/>
      <c r="EB14" s="104"/>
      <c r="EC14" s="104"/>
      <c r="ED14" s="104"/>
      <c r="EE14" s="104"/>
      <c r="EF14" s="104"/>
      <c r="EG14" s="104"/>
      <c r="EH14" s="104"/>
      <c r="EI14" s="104"/>
      <c r="EJ14" s="104"/>
      <c r="EK14" s="104"/>
      <c r="EL14" s="104"/>
      <c r="EM14" s="105">
        <f t="shared" si="258"/>
        <v>0</v>
      </c>
      <c r="EO14" s="104"/>
      <c r="EP14" s="104"/>
      <c r="EQ14" s="104"/>
      <c r="ER14" s="104"/>
      <c r="ES14" s="104"/>
      <c r="ET14" s="104"/>
      <c r="EU14" s="104"/>
      <c r="EV14" s="104"/>
      <c r="EW14" s="104"/>
      <c r="EX14" s="104"/>
      <c r="EY14" s="104"/>
      <c r="EZ14" s="104"/>
      <c r="FA14" s="105">
        <f t="shared" si="259"/>
        <v>0</v>
      </c>
    </row>
    <row r="15" spans="3:157" hidden="1" x14ac:dyDescent="0.25">
      <c r="C15" s="16" t="s">
        <v>5</v>
      </c>
      <c r="E15" s="104"/>
      <c r="F15" s="104"/>
      <c r="G15" s="104"/>
      <c r="H15" s="104"/>
      <c r="I15" s="104"/>
      <c r="J15" s="104"/>
      <c r="K15" s="104"/>
      <c r="L15" s="104"/>
      <c r="M15" s="104"/>
      <c r="N15" s="104"/>
      <c r="O15" s="104"/>
      <c r="P15" s="104"/>
      <c r="Q15" s="105">
        <f t="shared" si="260"/>
        <v>0</v>
      </c>
      <c r="S15" s="104"/>
      <c r="T15" s="104"/>
      <c r="U15" s="104"/>
      <c r="V15" s="104"/>
      <c r="W15" s="104"/>
      <c r="X15" s="104"/>
      <c r="Y15" s="104"/>
      <c r="Z15" s="104"/>
      <c r="AA15" s="104"/>
      <c r="AB15" s="104"/>
      <c r="AC15" s="104"/>
      <c r="AD15" s="104"/>
      <c r="AE15" s="105">
        <f t="shared" si="261"/>
        <v>0</v>
      </c>
      <c r="AG15" s="104"/>
      <c r="AH15" s="104"/>
      <c r="AI15" s="104"/>
      <c r="AJ15" s="104"/>
      <c r="AK15" s="104"/>
      <c r="AL15" s="104"/>
      <c r="AM15" s="104"/>
      <c r="AN15" s="104"/>
      <c r="AO15" s="104"/>
      <c r="AP15" s="104"/>
      <c r="AQ15" s="104"/>
      <c r="AR15" s="104"/>
      <c r="AS15" s="105">
        <f t="shared" si="251"/>
        <v>0</v>
      </c>
      <c r="AU15" s="104"/>
      <c r="AV15" s="104"/>
      <c r="AW15" s="104"/>
      <c r="AX15" s="104"/>
      <c r="AY15" s="104"/>
      <c r="AZ15" s="104"/>
      <c r="BA15" s="104"/>
      <c r="BB15" s="104"/>
      <c r="BC15" s="104"/>
      <c r="BD15" s="104"/>
      <c r="BE15" s="104"/>
      <c r="BF15" s="104"/>
      <c r="BG15" s="105">
        <f t="shared" si="252"/>
        <v>0</v>
      </c>
      <c r="BI15" s="104"/>
      <c r="BJ15" s="104"/>
      <c r="BK15" s="104"/>
      <c r="BL15" s="104"/>
      <c r="BM15" s="104"/>
      <c r="BN15" s="104"/>
      <c r="BO15" s="104"/>
      <c r="BP15" s="104"/>
      <c r="BQ15" s="104"/>
      <c r="BR15" s="104"/>
      <c r="BS15" s="104"/>
      <c r="BT15" s="104"/>
      <c r="BU15" s="105">
        <f t="shared" si="253"/>
        <v>0</v>
      </c>
      <c r="BW15" s="104"/>
      <c r="BX15" s="104"/>
      <c r="BY15" s="104"/>
      <c r="BZ15" s="104"/>
      <c r="CA15" s="104"/>
      <c r="CB15" s="104"/>
      <c r="CC15" s="104"/>
      <c r="CD15" s="104"/>
      <c r="CE15" s="104"/>
      <c r="CF15" s="104"/>
      <c r="CG15" s="104"/>
      <c r="CH15" s="104"/>
      <c r="CI15" s="105">
        <f t="shared" si="254"/>
        <v>0</v>
      </c>
      <c r="CK15" s="104"/>
      <c r="CL15" s="104"/>
      <c r="CM15" s="104"/>
      <c r="CN15" s="104"/>
      <c r="CO15" s="104"/>
      <c r="CP15" s="104"/>
      <c r="CQ15" s="104"/>
      <c r="CR15" s="104"/>
      <c r="CS15" s="104"/>
      <c r="CT15" s="104"/>
      <c r="CU15" s="104"/>
      <c r="CV15" s="104"/>
      <c r="CW15" s="105">
        <f t="shared" si="255"/>
        <v>0</v>
      </c>
      <c r="CY15" s="104"/>
      <c r="CZ15" s="104"/>
      <c r="DA15" s="104"/>
      <c r="DB15" s="104"/>
      <c r="DC15" s="104"/>
      <c r="DD15" s="104"/>
      <c r="DE15" s="104"/>
      <c r="DF15" s="104"/>
      <c r="DG15" s="104"/>
      <c r="DH15" s="104"/>
      <c r="DI15" s="104"/>
      <c r="DJ15" s="104"/>
      <c r="DK15" s="105">
        <f t="shared" si="256"/>
        <v>0</v>
      </c>
      <c r="DM15" s="104"/>
      <c r="DN15" s="104"/>
      <c r="DO15" s="104"/>
      <c r="DP15" s="104"/>
      <c r="DQ15" s="104"/>
      <c r="DR15" s="104"/>
      <c r="DS15" s="104"/>
      <c r="DT15" s="104"/>
      <c r="DU15" s="104"/>
      <c r="DV15" s="104"/>
      <c r="DW15" s="104"/>
      <c r="DX15" s="104"/>
      <c r="DY15" s="105">
        <f t="shared" si="257"/>
        <v>0</v>
      </c>
      <c r="EA15" s="104"/>
      <c r="EB15" s="104"/>
      <c r="EC15" s="104"/>
      <c r="ED15" s="104"/>
      <c r="EE15" s="104"/>
      <c r="EF15" s="104"/>
      <c r="EG15" s="104"/>
      <c r="EH15" s="104"/>
      <c r="EI15" s="104"/>
      <c r="EJ15" s="104"/>
      <c r="EK15" s="104"/>
      <c r="EL15" s="104"/>
      <c r="EM15" s="105">
        <f t="shared" si="258"/>
        <v>0</v>
      </c>
      <c r="EO15" s="104"/>
      <c r="EP15" s="104"/>
      <c r="EQ15" s="104"/>
      <c r="ER15" s="104"/>
      <c r="ES15" s="104"/>
      <c r="ET15" s="104"/>
      <c r="EU15" s="104"/>
      <c r="EV15" s="104"/>
      <c r="EW15" s="104"/>
      <c r="EX15" s="104"/>
      <c r="EY15" s="104"/>
      <c r="EZ15" s="104"/>
      <c r="FA15" s="105">
        <f t="shared" si="259"/>
        <v>0</v>
      </c>
    </row>
    <row r="16" spans="3:157" hidden="1" x14ac:dyDescent="0.25">
      <c r="C16" s="16" t="s">
        <v>5</v>
      </c>
      <c r="E16" s="104"/>
      <c r="F16" s="104"/>
      <c r="G16" s="104"/>
      <c r="H16" s="104"/>
      <c r="I16" s="104"/>
      <c r="J16" s="104"/>
      <c r="K16" s="104"/>
      <c r="L16" s="104"/>
      <c r="M16" s="104"/>
      <c r="N16" s="104"/>
      <c r="O16" s="104"/>
      <c r="P16" s="104"/>
      <c r="Q16" s="105">
        <f t="shared" si="260"/>
        <v>0</v>
      </c>
      <c r="S16" s="104"/>
      <c r="T16" s="104"/>
      <c r="U16" s="104"/>
      <c r="V16" s="104"/>
      <c r="W16" s="104"/>
      <c r="X16" s="104"/>
      <c r="Y16" s="104"/>
      <c r="Z16" s="104"/>
      <c r="AA16" s="104"/>
      <c r="AB16" s="104"/>
      <c r="AC16" s="104"/>
      <c r="AD16" s="104"/>
      <c r="AE16" s="105">
        <f t="shared" si="261"/>
        <v>0</v>
      </c>
      <c r="AG16" s="104"/>
      <c r="AH16" s="104"/>
      <c r="AI16" s="104"/>
      <c r="AJ16" s="104"/>
      <c r="AK16" s="104"/>
      <c r="AL16" s="104"/>
      <c r="AM16" s="104"/>
      <c r="AN16" s="104"/>
      <c r="AO16" s="104"/>
      <c r="AP16" s="104"/>
      <c r="AQ16" s="104"/>
      <c r="AR16" s="104"/>
      <c r="AS16" s="105">
        <f t="shared" si="251"/>
        <v>0</v>
      </c>
      <c r="AU16" s="104"/>
      <c r="AV16" s="104"/>
      <c r="AW16" s="104"/>
      <c r="AX16" s="104"/>
      <c r="AY16" s="104"/>
      <c r="AZ16" s="104"/>
      <c r="BA16" s="104"/>
      <c r="BB16" s="104"/>
      <c r="BC16" s="104"/>
      <c r="BD16" s="104"/>
      <c r="BE16" s="104"/>
      <c r="BF16" s="104"/>
      <c r="BG16" s="105">
        <f t="shared" si="252"/>
        <v>0</v>
      </c>
      <c r="BI16" s="104"/>
      <c r="BJ16" s="104"/>
      <c r="BK16" s="104"/>
      <c r="BL16" s="104"/>
      <c r="BM16" s="104"/>
      <c r="BN16" s="104"/>
      <c r="BO16" s="104"/>
      <c r="BP16" s="104"/>
      <c r="BQ16" s="104"/>
      <c r="BR16" s="104"/>
      <c r="BS16" s="104"/>
      <c r="BT16" s="104"/>
      <c r="BU16" s="105">
        <f t="shared" si="253"/>
        <v>0</v>
      </c>
      <c r="BW16" s="104"/>
      <c r="BX16" s="104"/>
      <c r="BY16" s="104"/>
      <c r="BZ16" s="104"/>
      <c r="CA16" s="104"/>
      <c r="CB16" s="104"/>
      <c r="CC16" s="104"/>
      <c r="CD16" s="104"/>
      <c r="CE16" s="104"/>
      <c r="CF16" s="104"/>
      <c r="CG16" s="104"/>
      <c r="CH16" s="104"/>
      <c r="CI16" s="105">
        <f t="shared" si="254"/>
        <v>0</v>
      </c>
      <c r="CK16" s="104"/>
      <c r="CL16" s="104"/>
      <c r="CM16" s="104"/>
      <c r="CN16" s="104"/>
      <c r="CO16" s="104"/>
      <c r="CP16" s="104"/>
      <c r="CQ16" s="104"/>
      <c r="CR16" s="104"/>
      <c r="CS16" s="104"/>
      <c r="CT16" s="104"/>
      <c r="CU16" s="104"/>
      <c r="CV16" s="104"/>
      <c r="CW16" s="105">
        <f t="shared" si="255"/>
        <v>0</v>
      </c>
      <c r="CY16" s="104"/>
      <c r="CZ16" s="104"/>
      <c r="DA16" s="104"/>
      <c r="DB16" s="104"/>
      <c r="DC16" s="104"/>
      <c r="DD16" s="104"/>
      <c r="DE16" s="104"/>
      <c r="DF16" s="104"/>
      <c r="DG16" s="104"/>
      <c r="DH16" s="104"/>
      <c r="DI16" s="104"/>
      <c r="DJ16" s="104"/>
      <c r="DK16" s="105">
        <f t="shared" si="256"/>
        <v>0</v>
      </c>
      <c r="DM16" s="104"/>
      <c r="DN16" s="104"/>
      <c r="DO16" s="104"/>
      <c r="DP16" s="104"/>
      <c r="DQ16" s="104"/>
      <c r="DR16" s="104"/>
      <c r="DS16" s="104"/>
      <c r="DT16" s="104"/>
      <c r="DU16" s="104"/>
      <c r="DV16" s="104"/>
      <c r="DW16" s="104"/>
      <c r="DX16" s="104"/>
      <c r="DY16" s="105">
        <f t="shared" si="257"/>
        <v>0</v>
      </c>
      <c r="EA16" s="104"/>
      <c r="EB16" s="104"/>
      <c r="EC16" s="104"/>
      <c r="ED16" s="104"/>
      <c r="EE16" s="104"/>
      <c r="EF16" s="104"/>
      <c r="EG16" s="104"/>
      <c r="EH16" s="104"/>
      <c r="EI16" s="104"/>
      <c r="EJ16" s="104"/>
      <c r="EK16" s="104"/>
      <c r="EL16" s="104"/>
      <c r="EM16" s="105">
        <f t="shared" si="258"/>
        <v>0</v>
      </c>
      <c r="EO16" s="104"/>
      <c r="EP16" s="104"/>
      <c r="EQ16" s="104"/>
      <c r="ER16" s="104"/>
      <c r="ES16" s="104"/>
      <c r="ET16" s="104"/>
      <c r="EU16" s="104"/>
      <c r="EV16" s="104"/>
      <c r="EW16" s="104"/>
      <c r="EX16" s="104"/>
      <c r="EY16" s="104"/>
      <c r="EZ16" s="104"/>
      <c r="FA16" s="105">
        <f t="shared" si="259"/>
        <v>0</v>
      </c>
    </row>
    <row r="17" spans="3:157" hidden="1" x14ac:dyDescent="0.25">
      <c r="C17" s="16" t="s">
        <v>5</v>
      </c>
      <c r="E17" s="104"/>
      <c r="F17" s="104"/>
      <c r="G17" s="104"/>
      <c r="H17" s="104"/>
      <c r="I17" s="104"/>
      <c r="J17" s="104"/>
      <c r="K17" s="104"/>
      <c r="L17" s="104"/>
      <c r="M17" s="104"/>
      <c r="N17" s="104"/>
      <c r="O17" s="104"/>
      <c r="P17" s="104"/>
      <c r="Q17" s="105">
        <f t="shared" si="260"/>
        <v>0</v>
      </c>
      <c r="S17" s="104"/>
      <c r="T17" s="104"/>
      <c r="U17" s="104"/>
      <c r="V17" s="104"/>
      <c r="W17" s="104"/>
      <c r="X17" s="104"/>
      <c r="Y17" s="104"/>
      <c r="Z17" s="104"/>
      <c r="AA17" s="104"/>
      <c r="AB17" s="104"/>
      <c r="AC17" s="104"/>
      <c r="AD17" s="104"/>
      <c r="AE17" s="105">
        <f t="shared" si="261"/>
        <v>0</v>
      </c>
      <c r="AG17" s="104"/>
      <c r="AH17" s="104"/>
      <c r="AI17" s="104"/>
      <c r="AJ17" s="104"/>
      <c r="AK17" s="104"/>
      <c r="AL17" s="104"/>
      <c r="AM17" s="104"/>
      <c r="AN17" s="104"/>
      <c r="AO17" s="104"/>
      <c r="AP17" s="104"/>
      <c r="AQ17" s="104"/>
      <c r="AR17" s="104"/>
      <c r="AS17" s="105">
        <f t="shared" si="251"/>
        <v>0</v>
      </c>
      <c r="AU17" s="104"/>
      <c r="AV17" s="104"/>
      <c r="AW17" s="104"/>
      <c r="AX17" s="104"/>
      <c r="AY17" s="104"/>
      <c r="AZ17" s="104"/>
      <c r="BA17" s="104"/>
      <c r="BB17" s="104"/>
      <c r="BC17" s="104"/>
      <c r="BD17" s="104"/>
      <c r="BE17" s="104"/>
      <c r="BF17" s="104"/>
      <c r="BG17" s="105">
        <f t="shared" si="252"/>
        <v>0</v>
      </c>
      <c r="BI17" s="104"/>
      <c r="BJ17" s="104"/>
      <c r="BK17" s="104"/>
      <c r="BL17" s="104"/>
      <c r="BM17" s="104"/>
      <c r="BN17" s="104"/>
      <c r="BO17" s="104"/>
      <c r="BP17" s="104"/>
      <c r="BQ17" s="104"/>
      <c r="BR17" s="104"/>
      <c r="BS17" s="104"/>
      <c r="BT17" s="104"/>
      <c r="BU17" s="105">
        <f t="shared" si="253"/>
        <v>0</v>
      </c>
      <c r="BW17" s="104"/>
      <c r="BX17" s="104"/>
      <c r="BY17" s="104"/>
      <c r="BZ17" s="104"/>
      <c r="CA17" s="104"/>
      <c r="CB17" s="104"/>
      <c r="CC17" s="104"/>
      <c r="CD17" s="104"/>
      <c r="CE17" s="104"/>
      <c r="CF17" s="104"/>
      <c r="CG17" s="104"/>
      <c r="CH17" s="104"/>
      <c r="CI17" s="105">
        <f t="shared" si="254"/>
        <v>0</v>
      </c>
      <c r="CK17" s="104"/>
      <c r="CL17" s="104"/>
      <c r="CM17" s="104"/>
      <c r="CN17" s="104"/>
      <c r="CO17" s="104"/>
      <c r="CP17" s="104"/>
      <c r="CQ17" s="104"/>
      <c r="CR17" s="104"/>
      <c r="CS17" s="104"/>
      <c r="CT17" s="104"/>
      <c r="CU17" s="104"/>
      <c r="CV17" s="104"/>
      <c r="CW17" s="105">
        <f t="shared" si="255"/>
        <v>0</v>
      </c>
      <c r="CY17" s="104"/>
      <c r="CZ17" s="104"/>
      <c r="DA17" s="104"/>
      <c r="DB17" s="104"/>
      <c r="DC17" s="104"/>
      <c r="DD17" s="104"/>
      <c r="DE17" s="104"/>
      <c r="DF17" s="104"/>
      <c r="DG17" s="104"/>
      <c r="DH17" s="104"/>
      <c r="DI17" s="104"/>
      <c r="DJ17" s="104"/>
      <c r="DK17" s="105">
        <f t="shared" si="256"/>
        <v>0</v>
      </c>
      <c r="DM17" s="104"/>
      <c r="DN17" s="104"/>
      <c r="DO17" s="104"/>
      <c r="DP17" s="104"/>
      <c r="DQ17" s="104"/>
      <c r="DR17" s="104"/>
      <c r="DS17" s="104"/>
      <c r="DT17" s="104"/>
      <c r="DU17" s="104"/>
      <c r="DV17" s="104"/>
      <c r="DW17" s="104"/>
      <c r="DX17" s="104"/>
      <c r="DY17" s="105">
        <f t="shared" si="257"/>
        <v>0</v>
      </c>
      <c r="EA17" s="104"/>
      <c r="EB17" s="104"/>
      <c r="EC17" s="104"/>
      <c r="ED17" s="104"/>
      <c r="EE17" s="104"/>
      <c r="EF17" s="104"/>
      <c r="EG17" s="104"/>
      <c r="EH17" s="104"/>
      <c r="EI17" s="104"/>
      <c r="EJ17" s="104"/>
      <c r="EK17" s="104"/>
      <c r="EL17" s="104"/>
      <c r="EM17" s="105">
        <f t="shared" si="258"/>
        <v>0</v>
      </c>
      <c r="EO17" s="104"/>
      <c r="EP17" s="104"/>
      <c r="EQ17" s="104"/>
      <c r="ER17" s="104"/>
      <c r="ES17" s="104"/>
      <c r="ET17" s="104"/>
      <c r="EU17" s="104"/>
      <c r="EV17" s="104"/>
      <c r="EW17" s="104"/>
      <c r="EX17" s="104"/>
      <c r="EY17" s="104"/>
      <c r="EZ17" s="104"/>
      <c r="FA17" s="105">
        <f t="shared" si="259"/>
        <v>0</v>
      </c>
    </row>
    <row r="18" spans="3:157" hidden="1" x14ac:dyDescent="0.25">
      <c r="C18" s="16" t="s">
        <v>5</v>
      </c>
      <c r="E18" s="104"/>
      <c r="F18" s="104"/>
      <c r="G18" s="104"/>
      <c r="H18" s="104"/>
      <c r="I18" s="104"/>
      <c r="J18" s="104"/>
      <c r="K18" s="104"/>
      <c r="L18" s="104"/>
      <c r="M18" s="104"/>
      <c r="N18" s="104"/>
      <c r="O18" s="104"/>
      <c r="P18" s="104"/>
      <c r="Q18" s="105">
        <f t="shared" si="260"/>
        <v>0</v>
      </c>
      <c r="S18" s="104"/>
      <c r="T18" s="104"/>
      <c r="U18" s="104"/>
      <c r="V18" s="104"/>
      <c r="W18" s="104"/>
      <c r="X18" s="104"/>
      <c r="Y18" s="104"/>
      <c r="Z18" s="104"/>
      <c r="AA18" s="104"/>
      <c r="AB18" s="104"/>
      <c r="AC18" s="104"/>
      <c r="AD18" s="104"/>
      <c r="AE18" s="105">
        <f t="shared" si="261"/>
        <v>0</v>
      </c>
      <c r="AG18" s="104"/>
      <c r="AH18" s="104"/>
      <c r="AI18" s="104"/>
      <c r="AJ18" s="104"/>
      <c r="AK18" s="104"/>
      <c r="AL18" s="104"/>
      <c r="AM18" s="104"/>
      <c r="AN18" s="104"/>
      <c r="AO18" s="104"/>
      <c r="AP18" s="104"/>
      <c r="AQ18" s="104"/>
      <c r="AR18" s="104"/>
      <c r="AS18" s="105">
        <f t="shared" si="251"/>
        <v>0</v>
      </c>
      <c r="AU18" s="104"/>
      <c r="AV18" s="104"/>
      <c r="AW18" s="104"/>
      <c r="AX18" s="104"/>
      <c r="AY18" s="104"/>
      <c r="AZ18" s="104"/>
      <c r="BA18" s="104"/>
      <c r="BB18" s="104"/>
      <c r="BC18" s="104"/>
      <c r="BD18" s="104"/>
      <c r="BE18" s="104"/>
      <c r="BF18" s="104"/>
      <c r="BG18" s="105">
        <f t="shared" si="252"/>
        <v>0</v>
      </c>
      <c r="BI18" s="104"/>
      <c r="BJ18" s="104"/>
      <c r="BK18" s="104"/>
      <c r="BL18" s="104"/>
      <c r="BM18" s="104"/>
      <c r="BN18" s="104"/>
      <c r="BO18" s="104"/>
      <c r="BP18" s="104"/>
      <c r="BQ18" s="104"/>
      <c r="BR18" s="104"/>
      <c r="BS18" s="104"/>
      <c r="BT18" s="104"/>
      <c r="BU18" s="105">
        <f t="shared" si="253"/>
        <v>0</v>
      </c>
      <c r="BW18" s="104"/>
      <c r="BX18" s="104"/>
      <c r="BY18" s="104"/>
      <c r="BZ18" s="104"/>
      <c r="CA18" s="104"/>
      <c r="CB18" s="104"/>
      <c r="CC18" s="104"/>
      <c r="CD18" s="104"/>
      <c r="CE18" s="104"/>
      <c r="CF18" s="104"/>
      <c r="CG18" s="104"/>
      <c r="CH18" s="104"/>
      <c r="CI18" s="105">
        <f t="shared" si="254"/>
        <v>0</v>
      </c>
      <c r="CK18" s="104"/>
      <c r="CL18" s="104"/>
      <c r="CM18" s="104"/>
      <c r="CN18" s="104"/>
      <c r="CO18" s="104"/>
      <c r="CP18" s="104"/>
      <c r="CQ18" s="104"/>
      <c r="CR18" s="104"/>
      <c r="CS18" s="104"/>
      <c r="CT18" s="104"/>
      <c r="CU18" s="104"/>
      <c r="CV18" s="104"/>
      <c r="CW18" s="105">
        <f t="shared" si="255"/>
        <v>0</v>
      </c>
      <c r="CY18" s="104"/>
      <c r="CZ18" s="104"/>
      <c r="DA18" s="104"/>
      <c r="DB18" s="104"/>
      <c r="DC18" s="104"/>
      <c r="DD18" s="104"/>
      <c r="DE18" s="104"/>
      <c r="DF18" s="104"/>
      <c r="DG18" s="104"/>
      <c r="DH18" s="104"/>
      <c r="DI18" s="104"/>
      <c r="DJ18" s="104"/>
      <c r="DK18" s="105">
        <f t="shared" si="256"/>
        <v>0</v>
      </c>
      <c r="DM18" s="104"/>
      <c r="DN18" s="104"/>
      <c r="DO18" s="104"/>
      <c r="DP18" s="104"/>
      <c r="DQ18" s="104"/>
      <c r="DR18" s="104"/>
      <c r="DS18" s="104"/>
      <c r="DT18" s="104"/>
      <c r="DU18" s="104"/>
      <c r="DV18" s="104"/>
      <c r="DW18" s="104"/>
      <c r="DX18" s="104"/>
      <c r="DY18" s="105">
        <f t="shared" si="257"/>
        <v>0</v>
      </c>
      <c r="EA18" s="104"/>
      <c r="EB18" s="104"/>
      <c r="EC18" s="104"/>
      <c r="ED18" s="104"/>
      <c r="EE18" s="104"/>
      <c r="EF18" s="104"/>
      <c r="EG18" s="104"/>
      <c r="EH18" s="104"/>
      <c r="EI18" s="104"/>
      <c r="EJ18" s="104"/>
      <c r="EK18" s="104"/>
      <c r="EL18" s="104"/>
      <c r="EM18" s="105">
        <f t="shared" si="258"/>
        <v>0</v>
      </c>
      <c r="EO18" s="104"/>
      <c r="EP18" s="104"/>
      <c r="EQ18" s="104"/>
      <c r="ER18" s="104"/>
      <c r="ES18" s="104"/>
      <c r="ET18" s="104"/>
      <c r="EU18" s="104"/>
      <c r="EV18" s="104"/>
      <c r="EW18" s="104"/>
      <c r="EX18" s="104"/>
      <c r="EY18" s="104"/>
      <c r="EZ18" s="104"/>
      <c r="FA18" s="105">
        <f t="shared" si="259"/>
        <v>0</v>
      </c>
    </row>
    <row r="19" spans="3:157" hidden="1" x14ac:dyDescent="0.25">
      <c r="C19" s="16" t="s">
        <v>5</v>
      </c>
      <c r="E19" s="104"/>
      <c r="F19" s="104"/>
      <c r="G19" s="104"/>
      <c r="H19" s="104"/>
      <c r="I19" s="104"/>
      <c r="J19" s="104"/>
      <c r="K19" s="104"/>
      <c r="L19" s="104"/>
      <c r="M19" s="104"/>
      <c r="N19" s="104"/>
      <c r="O19" s="104"/>
      <c r="P19" s="104"/>
      <c r="Q19" s="105">
        <f t="shared" si="260"/>
        <v>0</v>
      </c>
      <c r="S19" s="104"/>
      <c r="T19" s="104"/>
      <c r="U19" s="104"/>
      <c r="V19" s="104"/>
      <c r="W19" s="104"/>
      <c r="X19" s="104"/>
      <c r="Y19" s="104"/>
      <c r="Z19" s="104"/>
      <c r="AA19" s="104"/>
      <c r="AB19" s="104"/>
      <c r="AC19" s="104"/>
      <c r="AD19" s="104"/>
      <c r="AE19" s="105">
        <f t="shared" si="261"/>
        <v>0</v>
      </c>
      <c r="AG19" s="104"/>
      <c r="AH19" s="104"/>
      <c r="AI19" s="104"/>
      <c r="AJ19" s="104"/>
      <c r="AK19" s="104"/>
      <c r="AL19" s="104"/>
      <c r="AM19" s="104"/>
      <c r="AN19" s="104"/>
      <c r="AO19" s="104"/>
      <c r="AP19" s="104"/>
      <c r="AQ19" s="104"/>
      <c r="AR19" s="104"/>
      <c r="AS19" s="105">
        <f t="shared" si="251"/>
        <v>0</v>
      </c>
      <c r="AU19" s="104"/>
      <c r="AV19" s="104"/>
      <c r="AW19" s="104"/>
      <c r="AX19" s="104"/>
      <c r="AY19" s="104"/>
      <c r="AZ19" s="104"/>
      <c r="BA19" s="104"/>
      <c r="BB19" s="104"/>
      <c r="BC19" s="104"/>
      <c r="BD19" s="104"/>
      <c r="BE19" s="104"/>
      <c r="BF19" s="104"/>
      <c r="BG19" s="105">
        <f t="shared" si="252"/>
        <v>0</v>
      </c>
      <c r="BI19" s="104"/>
      <c r="BJ19" s="104"/>
      <c r="BK19" s="104"/>
      <c r="BL19" s="104"/>
      <c r="BM19" s="104"/>
      <c r="BN19" s="104"/>
      <c r="BO19" s="104"/>
      <c r="BP19" s="104"/>
      <c r="BQ19" s="104"/>
      <c r="BR19" s="104"/>
      <c r="BS19" s="104"/>
      <c r="BT19" s="104"/>
      <c r="BU19" s="105">
        <f t="shared" si="253"/>
        <v>0</v>
      </c>
      <c r="BW19" s="104"/>
      <c r="BX19" s="104"/>
      <c r="BY19" s="104"/>
      <c r="BZ19" s="104"/>
      <c r="CA19" s="104"/>
      <c r="CB19" s="104"/>
      <c r="CC19" s="104"/>
      <c r="CD19" s="104"/>
      <c r="CE19" s="104"/>
      <c r="CF19" s="104"/>
      <c r="CG19" s="104"/>
      <c r="CH19" s="104"/>
      <c r="CI19" s="105">
        <f t="shared" si="254"/>
        <v>0</v>
      </c>
      <c r="CK19" s="104"/>
      <c r="CL19" s="104"/>
      <c r="CM19" s="104"/>
      <c r="CN19" s="104"/>
      <c r="CO19" s="104"/>
      <c r="CP19" s="104"/>
      <c r="CQ19" s="104"/>
      <c r="CR19" s="104"/>
      <c r="CS19" s="104"/>
      <c r="CT19" s="104"/>
      <c r="CU19" s="104"/>
      <c r="CV19" s="104"/>
      <c r="CW19" s="105">
        <f t="shared" si="255"/>
        <v>0</v>
      </c>
      <c r="CY19" s="104"/>
      <c r="CZ19" s="104"/>
      <c r="DA19" s="104"/>
      <c r="DB19" s="104"/>
      <c r="DC19" s="104"/>
      <c r="DD19" s="104"/>
      <c r="DE19" s="104"/>
      <c r="DF19" s="104"/>
      <c r="DG19" s="104"/>
      <c r="DH19" s="104"/>
      <c r="DI19" s="104"/>
      <c r="DJ19" s="104"/>
      <c r="DK19" s="105">
        <f t="shared" si="256"/>
        <v>0</v>
      </c>
      <c r="DM19" s="104"/>
      <c r="DN19" s="104"/>
      <c r="DO19" s="104"/>
      <c r="DP19" s="104"/>
      <c r="DQ19" s="104"/>
      <c r="DR19" s="104"/>
      <c r="DS19" s="104"/>
      <c r="DT19" s="104"/>
      <c r="DU19" s="104"/>
      <c r="DV19" s="104"/>
      <c r="DW19" s="104"/>
      <c r="DX19" s="104"/>
      <c r="DY19" s="105">
        <f t="shared" si="257"/>
        <v>0</v>
      </c>
      <c r="EA19" s="104"/>
      <c r="EB19" s="104"/>
      <c r="EC19" s="104"/>
      <c r="ED19" s="104"/>
      <c r="EE19" s="104"/>
      <c r="EF19" s="104"/>
      <c r="EG19" s="104"/>
      <c r="EH19" s="104"/>
      <c r="EI19" s="104"/>
      <c r="EJ19" s="104"/>
      <c r="EK19" s="104"/>
      <c r="EL19" s="104"/>
      <c r="EM19" s="105">
        <f t="shared" si="258"/>
        <v>0</v>
      </c>
      <c r="EO19" s="104"/>
      <c r="EP19" s="104"/>
      <c r="EQ19" s="104"/>
      <c r="ER19" s="104"/>
      <c r="ES19" s="104"/>
      <c r="ET19" s="104"/>
      <c r="EU19" s="104"/>
      <c r="EV19" s="104"/>
      <c r="EW19" s="104"/>
      <c r="EX19" s="104"/>
      <c r="EY19" s="104"/>
      <c r="EZ19" s="104"/>
      <c r="FA19" s="105">
        <f t="shared" si="259"/>
        <v>0</v>
      </c>
    </row>
    <row r="20" spans="3:157" x14ac:dyDescent="0.25">
      <c r="C20" s="12" t="s">
        <v>6</v>
      </c>
      <c r="E20" s="103" cm="1">
        <f t="array" aca="1" ref="E20" ca="1">SUM(INDIRECT(ADDRESS(income_min_row, COLUMN()) &amp; ":" &amp; ADDRESS(income_max_row, COLUMN())))</f>
        <v>4650</v>
      </c>
      <c r="F20" s="103" cm="1">
        <f t="array" aca="1" ref="F20" ca="1">SUM(INDIRECT(ADDRESS(income_min_row, COLUMN()) &amp; ":" &amp; ADDRESS(income_max_row, COLUMN())))</f>
        <v>4550</v>
      </c>
      <c r="G20" s="103" cm="1">
        <f t="array" aca="1" ref="G20" ca="1">SUM(INDIRECT(ADDRESS(income_min_row, COLUMN()) &amp; ":" &amp; ADDRESS(income_max_row, COLUMN())))</f>
        <v>4600</v>
      </c>
      <c r="H20" s="103" cm="1">
        <f t="array" aca="1" ref="H20" ca="1">SUM(INDIRECT(ADDRESS(income_min_row, COLUMN()) &amp; ":" &amp; ADDRESS(income_max_row, COLUMN())))</f>
        <v>5650</v>
      </c>
      <c r="I20" s="103" cm="1">
        <f t="array" aca="1" ref="I20" ca="1">SUM(INDIRECT(ADDRESS(income_min_row, COLUMN()) &amp; ":" &amp; ADDRESS(income_max_row, COLUMN())))</f>
        <v>5550</v>
      </c>
      <c r="J20" s="103" cm="1">
        <f t="array" aca="1" ref="J20" ca="1">SUM(INDIRECT(ADDRESS(income_min_row, COLUMN()) &amp; ":" &amp; ADDRESS(income_max_row, COLUMN())))</f>
        <v>5600</v>
      </c>
      <c r="K20" s="103" cm="1">
        <f t="array" aca="1" ref="K20" ca="1">SUM(INDIRECT(ADDRESS(income_min_row, COLUMN()) &amp; ":" &amp; ADDRESS(income_max_row, COLUMN())))</f>
        <v>5650</v>
      </c>
      <c r="L20" s="103" cm="1">
        <f t="array" aca="1" ref="L20" ca="1">SUM(INDIRECT(ADDRESS(income_min_row, COLUMN()) &amp; ":" &amp; ADDRESS(income_max_row, COLUMN())))</f>
        <v>5550</v>
      </c>
      <c r="M20" s="103" cm="1">
        <f t="array" aca="1" ref="M20" ca="1">SUM(INDIRECT(ADDRESS(income_min_row, COLUMN()) &amp; ":" &amp; ADDRESS(income_max_row, COLUMN())))</f>
        <v>5600</v>
      </c>
      <c r="N20" s="103" cm="1">
        <f t="array" aca="1" ref="N20" ca="1">SUM(INDIRECT(ADDRESS(income_min_row, COLUMN()) &amp; ":" &amp; ADDRESS(income_max_row, COLUMN())))</f>
        <v>5650</v>
      </c>
      <c r="O20" s="103" cm="1">
        <f t="array" aca="1" ref="O20" ca="1">SUM(INDIRECT(ADDRESS(income_min_row, COLUMN()) &amp; ":" &amp; ADDRESS(income_max_row, COLUMN())))</f>
        <v>5550</v>
      </c>
      <c r="P20" s="103" cm="1">
        <f t="array" aca="1" ref="P20" ca="1">SUM(INDIRECT(ADDRESS(income_min_row, COLUMN()) &amp; ":" &amp; ADDRESS(income_max_row, COLUMN())))</f>
        <v>5600</v>
      </c>
      <c r="Q20" s="103" cm="1">
        <f t="array" aca="1" ref="Q20" ca="1">SUM(INDIRECT(ADDRESS(income_min_row, COLUMN()) &amp; ":" &amp; ADDRESS(income_max_row, COLUMN())))</f>
        <v>64200</v>
      </c>
      <c r="S20" s="103" cm="1">
        <f t="array" aca="1" ref="S20" ca="1">SUM(INDIRECT(ADDRESS(income_min_row, COLUMN()) &amp; ":" &amp; ADDRESS(income_max_row, COLUMN())))</f>
        <v>0</v>
      </c>
      <c r="T20" s="103" cm="1">
        <f t="array" aca="1" ref="T20" ca="1">SUM(INDIRECT(ADDRESS(income_min_row, COLUMN()) &amp; ":" &amp; ADDRESS(income_max_row, COLUMN())))</f>
        <v>0</v>
      </c>
      <c r="U20" s="103" cm="1">
        <f t="array" aca="1" ref="U20" ca="1">SUM(INDIRECT(ADDRESS(income_min_row, COLUMN()) &amp; ":" &amp; ADDRESS(income_max_row, COLUMN())))</f>
        <v>0</v>
      </c>
      <c r="V20" s="103" cm="1">
        <f t="array" aca="1" ref="V20" ca="1">SUM(INDIRECT(ADDRESS(income_min_row, COLUMN()) &amp; ":" &amp; ADDRESS(income_max_row, COLUMN())))</f>
        <v>0</v>
      </c>
      <c r="W20" s="103" cm="1">
        <f t="array" aca="1" ref="W20" ca="1">SUM(INDIRECT(ADDRESS(income_min_row, COLUMN()) &amp; ":" &amp; ADDRESS(income_max_row, COLUMN())))</f>
        <v>0</v>
      </c>
      <c r="X20" s="103" cm="1">
        <f t="array" aca="1" ref="X20" ca="1">SUM(INDIRECT(ADDRESS(income_min_row, COLUMN()) &amp; ":" &amp; ADDRESS(income_max_row, COLUMN())))</f>
        <v>0</v>
      </c>
      <c r="Y20" s="103" cm="1">
        <f t="array" aca="1" ref="Y20" ca="1">SUM(INDIRECT(ADDRESS(income_min_row, COLUMN()) &amp; ":" &amp; ADDRESS(income_max_row, COLUMN())))</f>
        <v>0</v>
      </c>
      <c r="Z20" s="103" cm="1">
        <f t="array" aca="1" ref="Z20" ca="1">SUM(INDIRECT(ADDRESS(income_min_row, COLUMN()) &amp; ":" &amp; ADDRESS(income_max_row, COLUMN())))</f>
        <v>0</v>
      </c>
      <c r="AA20" s="103" cm="1">
        <f t="array" aca="1" ref="AA20" ca="1">SUM(INDIRECT(ADDRESS(income_min_row, COLUMN()) &amp; ":" &amp; ADDRESS(income_max_row, COLUMN())))</f>
        <v>0</v>
      </c>
      <c r="AB20" s="103" cm="1">
        <f t="array" aca="1" ref="AB20" ca="1">SUM(INDIRECT(ADDRESS(income_min_row, COLUMN()) &amp; ":" &amp; ADDRESS(income_max_row, COLUMN())))</f>
        <v>0</v>
      </c>
      <c r="AC20" s="103" cm="1">
        <f t="array" aca="1" ref="AC20" ca="1">SUM(INDIRECT(ADDRESS(income_min_row, COLUMN()) &amp; ":" &amp; ADDRESS(income_max_row, COLUMN())))</f>
        <v>0</v>
      </c>
      <c r="AD20" s="103" cm="1">
        <f t="array" aca="1" ref="AD20" ca="1">SUM(INDIRECT(ADDRESS(income_min_row, COLUMN()) &amp; ":" &amp; ADDRESS(income_max_row, COLUMN())))</f>
        <v>0</v>
      </c>
      <c r="AE20" s="103" cm="1">
        <f t="array" aca="1" ref="AE20" ca="1">SUM(INDIRECT(ADDRESS(income_min_row, COLUMN()) &amp; ":" &amp; ADDRESS(income_max_row, COLUMN())))</f>
        <v>0</v>
      </c>
      <c r="AG20" s="103" cm="1">
        <f t="array" aca="1" ref="AG20" ca="1">SUM(INDIRECT(ADDRESS(income_min_row, COLUMN()) &amp; ":" &amp; ADDRESS(income_max_row, COLUMN())))</f>
        <v>0</v>
      </c>
      <c r="AH20" s="103" cm="1">
        <f t="array" aca="1" ref="AH20" ca="1">SUM(INDIRECT(ADDRESS(income_min_row, COLUMN()) &amp; ":" &amp; ADDRESS(income_max_row, COLUMN())))</f>
        <v>0</v>
      </c>
      <c r="AI20" s="103" cm="1">
        <f t="array" aca="1" ref="AI20" ca="1">SUM(INDIRECT(ADDRESS(income_min_row, COLUMN()) &amp; ":" &amp; ADDRESS(income_max_row, COLUMN())))</f>
        <v>0</v>
      </c>
      <c r="AJ20" s="103" cm="1">
        <f t="array" aca="1" ref="AJ20" ca="1">SUM(INDIRECT(ADDRESS(income_min_row, COLUMN()) &amp; ":" &amp; ADDRESS(income_max_row, COLUMN())))</f>
        <v>0</v>
      </c>
      <c r="AK20" s="103" cm="1">
        <f t="array" aca="1" ref="AK20" ca="1">SUM(INDIRECT(ADDRESS(income_min_row, COLUMN()) &amp; ":" &amp; ADDRESS(income_max_row, COLUMN())))</f>
        <v>0</v>
      </c>
      <c r="AL20" s="103" cm="1">
        <f t="array" aca="1" ref="AL20" ca="1">SUM(INDIRECT(ADDRESS(income_min_row, COLUMN()) &amp; ":" &amp; ADDRESS(income_max_row, COLUMN())))</f>
        <v>0</v>
      </c>
      <c r="AM20" s="103" cm="1">
        <f t="array" aca="1" ref="AM20" ca="1">SUM(INDIRECT(ADDRESS(income_min_row, COLUMN()) &amp; ":" &amp; ADDRESS(income_max_row, COLUMN())))</f>
        <v>0</v>
      </c>
      <c r="AN20" s="103" cm="1">
        <f t="array" aca="1" ref="AN20" ca="1">SUM(INDIRECT(ADDRESS(income_min_row, COLUMN()) &amp; ":" &amp; ADDRESS(income_max_row, COLUMN())))</f>
        <v>0</v>
      </c>
      <c r="AO20" s="103" cm="1">
        <f t="array" aca="1" ref="AO20" ca="1">SUM(INDIRECT(ADDRESS(income_min_row, COLUMN()) &amp; ":" &amp; ADDRESS(income_max_row, COLUMN())))</f>
        <v>0</v>
      </c>
      <c r="AP20" s="103" cm="1">
        <f t="array" aca="1" ref="AP20" ca="1">SUM(INDIRECT(ADDRESS(income_min_row, COLUMN()) &amp; ":" &amp; ADDRESS(income_max_row, COLUMN())))</f>
        <v>0</v>
      </c>
      <c r="AQ20" s="103" cm="1">
        <f t="array" aca="1" ref="AQ20" ca="1">SUM(INDIRECT(ADDRESS(income_min_row, COLUMN()) &amp; ":" &amp; ADDRESS(income_max_row, COLUMN())))</f>
        <v>0</v>
      </c>
      <c r="AR20" s="103" cm="1">
        <f t="array" aca="1" ref="AR20" ca="1">SUM(INDIRECT(ADDRESS(income_min_row, COLUMN()) &amp; ":" &amp; ADDRESS(income_max_row, COLUMN())))</f>
        <v>0</v>
      </c>
      <c r="AS20" s="103" cm="1">
        <f t="array" aca="1" ref="AS20" ca="1">SUM(INDIRECT(ADDRESS(income_min_row, COLUMN()) &amp; ":" &amp; ADDRESS(income_max_row, COLUMN())))</f>
        <v>0</v>
      </c>
      <c r="AU20" s="103" cm="1">
        <f t="array" aca="1" ref="AU20" ca="1">SUM(INDIRECT(ADDRESS(income_min_row, COLUMN()) &amp; ":" &amp; ADDRESS(income_max_row, COLUMN())))</f>
        <v>0</v>
      </c>
      <c r="AV20" s="103" cm="1">
        <f t="array" aca="1" ref="AV20" ca="1">SUM(INDIRECT(ADDRESS(income_min_row, COLUMN()) &amp; ":" &amp; ADDRESS(income_max_row, COLUMN())))</f>
        <v>0</v>
      </c>
      <c r="AW20" s="103" cm="1">
        <f t="array" aca="1" ref="AW20" ca="1">SUM(INDIRECT(ADDRESS(income_min_row, COLUMN()) &amp; ":" &amp; ADDRESS(income_max_row, COLUMN())))</f>
        <v>0</v>
      </c>
      <c r="AX20" s="103" cm="1">
        <f t="array" aca="1" ref="AX20" ca="1">SUM(INDIRECT(ADDRESS(income_min_row, COLUMN()) &amp; ":" &amp; ADDRESS(income_max_row, COLUMN())))</f>
        <v>0</v>
      </c>
      <c r="AY20" s="103" cm="1">
        <f t="array" aca="1" ref="AY20" ca="1">SUM(INDIRECT(ADDRESS(income_min_row, COLUMN()) &amp; ":" &amp; ADDRESS(income_max_row, COLUMN())))</f>
        <v>0</v>
      </c>
      <c r="AZ20" s="103" cm="1">
        <f t="array" aca="1" ref="AZ20" ca="1">SUM(INDIRECT(ADDRESS(income_min_row, COLUMN()) &amp; ":" &amp; ADDRESS(income_max_row, COLUMN())))</f>
        <v>0</v>
      </c>
      <c r="BA20" s="103" cm="1">
        <f t="array" aca="1" ref="BA20" ca="1">SUM(INDIRECT(ADDRESS(income_min_row, COLUMN()) &amp; ":" &amp; ADDRESS(income_max_row, COLUMN())))</f>
        <v>0</v>
      </c>
      <c r="BB20" s="103" cm="1">
        <f t="array" aca="1" ref="BB20" ca="1">SUM(INDIRECT(ADDRESS(income_min_row, COLUMN()) &amp; ":" &amp; ADDRESS(income_max_row, COLUMN())))</f>
        <v>0</v>
      </c>
      <c r="BC20" s="103" cm="1">
        <f t="array" aca="1" ref="BC20" ca="1">SUM(INDIRECT(ADDRESS(income_min_row, COLUMN()) &amp; ":" &amp; ADDRESS(income_max_row, COLUMN())))</f>
        <v>0</v>
      </c>
      <c r="BD20" s="103" cm="1">
        <f t="array" aca="1" ref="BD20" ca="1">SUM(INDIRECT(ADDRESS(income_min_row, COLUMN()) &amp; ":" &amp; ADDRESS(income_max_row, COLUMN())))</f>
        <v>0</v>
      </c>
      <c r="BE20" s="103" cm="1">
        <f t="array" aca="1" ref="BE20" ca="1">SUM(INDIRECT(ADDRESS(income_min_row, COLUMN()) &amp; ":" &amp; ADDRESS(income_max_row, COLUMN())))</f>
        <v>0</v>
      </c>
      <c r="BF20" s="103" cm="1">
        <f t="array" aca="1" ref="BF20" ca="1">SUM(INDIRECT(ADDRESS(income_min_row, COLUMN()) &amp; ":" &amp; ADDRESS(income_max_row, COLUMN())))</f>
        <v>0</v>
      </c>
      <c r="BG20" s="103" cm="1">
        <f t="array" aca="1" ref="BG20" ca="1">SUM(INDIRECT(ADDRESS(income_min_row, COLUMN()) &amp; ":" &amp; ADDRESS(income_max_row, COLUMN())))</f>
        <v>0</v>
      </c>
      <c r="BI20" s="103" cm="1">
        <f t="array" aca="1" ref="BI20" ca="1">SUM(INDIRECT(ADDRESS(income_min_row, COLUMN()) &amp; ":" &amp; ADDRESS(income_max_row, COLUMN())))</f>
        <v>0</v>
      </c>
      <c r="BJ20" s="103" cm="1">
        <f t="array" aca="1" ref="BJ20" ca="1">SUM(INDIRECT(ADDRESS(income_min_row, COLUMN()) &amp; ":" &amp; ADDRESS(income_max_row, COLUMN())))</f>
        <v>0</v>
      </c>
      <c r="BK20" s="103" cm="1">
        <f t="array" aca="1" ref="BK20" ca="1">SUM(INDIRECT(ADDRESS(income_min_row, COLUMN()) &amp; ":" &amp; ADDRESS(income_max_row, COLUMN())))</f>
        <v>0</v>
      </c>
      <c r="BL20" s="103" cm="1">
        <f t="array" aca="1" ref="BL20" ca="1">SUM(INDIRECT(ADDRESS(income_min_row, COLUMN()) &amp; ":" &amp; ADDRESS(income_max_row, COLUMN())))</f>
        <v>0</v>
      </c>
      <c r="BM20" s="103" cm="1">
        <f t="array" aca="1" ref="BM20" ca="1">SUM(INDIRECT(ADDRESS(income_min_row, COLUMN()) &amp; ":" &amp; ADDRESS(income_max_row, COLUMN())))</f>
        <v>0</v>
      </c>
      <c r="BN20" s="103" cm="1">
        <f t="array" aca="1" ref="BN20" ca="1">SUM(INDIRECT(ADDRESS(income_min_row, COLUMN()) &amp; ":" &amp; ADDRESS(income_max_row, COLUMN())))</f>
        <v>0</v>
      </c>
      <c r="BO20" s="103" cm="1">
        <f t="array" aca="1" ref="BO20" ca="1">SUM(INDIRECT(ADDRESS(income_min_row, COLUMN()) &amp; ":" &amp; ADDRESS(income_max_row, COLUMN())))</f>
        <v>0</v>
      </c>
      <c r="BP20" s="103" cm="1">
        <f t="array" aca="1" ref="BP20" ca="1">SUM(INDIRECT(ADDRESS(income_min_row, COLUMN()) &amp; ":" &amp; ADDRESS(income_max_row, COLUMN())))</f>
        <v>0</v>
      </c>
      <c r="BQ20" s="103" cm="1">
        <f t="array" aca="1" ref="BQ20" ca="1">SUM(INDIRECT(ADDRESS(income_min_row, COLUMN()) &amp; ":" &amp; ADDRESS(income_max_row, COLUMN())))</f>
        <v>0</v>
      </c>
      <c r="BR20" s="103" cm="1">
        <f t="array" aca="1" ref="BR20" ca="1">SUM(INDIRECT(ADDRESS(income_min_row, COLUMN()) &amp; ":" &amp; ADDRESS(income_max_row, COLUMN())))</f>
        <v>0</v>
      </c>
      <c r="BS20" s="103" cm="1">
        <f t="array" aca="1" ref="BS20" ca="1">SUM(INDIRECT(ADDRESS(income_min_row, COLUMN()) &amp; ":" &amp; ADDRESS(income_max_row, COLUMN())))</f>
        <v>0</v>
      </c>
      <c r="BT20" s="103" cm="1">
        <f t="array" aca="1" ref="BT20" ca="1">SUM(INDIRECT(ADDRESS(income_min_row, COLUMN()) &amp; ":" &amp; ADDRESS(income_max_row, COLUMN())))</f>
        <v>0</v>
      </c>
      <c r="BU20" s="103" cm="1">
        <f t="array" aca="1" ref="BU20" ca="1">SUM(INDIRECT(ADDRESS(income_min_row, COLUMN()) &amp; ":" &amp; ADDRESS(income_max_row, COLUMN())))</f>
        <v>0</v>
      </c>
      <c r="BW20" s="103" cm="1">
        <f t="array" aca="1" ref="BW20" ca="1">SUM(INDIRECT(ADDRESS(income_min_row, COLUMN()) &amp; ":" &amp; ADDRESS(income_max_row, COLUMN())))</f>
        <v>0</v>
      </c>
      <c r="BX20" s="103" cm="1">
        <f t="array" aca="1" ref="BX20" ca="1">SUM(INDIRECT(ADDRESS(income_min_row, COLUMN()) &amp; ":" &amp; ADDRESS(income_max_row, COLUMN())))</f>
        <v>0</v>
      </c>
      <c r="BY20" s="103" cm="1">
        <f t="array" aca="1" ref="BY20" ca="1">SUM(INDIRECT(ADDRESS(income_min_row, COLUMN()) &amp; ":" &amp; ADDRESS(income_max_row, COLUMN())))</f>
        <v>0</v>
      </c>
      <c r="BZ20" s="103" cm="1">
        <f t="array" aca="1" ref="BZ20" ca="1">SUM(INDIRECT(ADDRESS(income_min_row, COLUMN()) &amp; ":" &amp; ADDRESS(income_max_row, COLUMN())))</f>
        <v>0</v>
      </c>
      <c r="CA20" s="103" cm="1">
        <f t="array" aca="1" ref="CA20" ca="1">SUM(INDIRECT(ADDRESS(income_min_row, COLUMN()) &amp; ":" &amp; ADDRESS(income_max_row, COLUMN())))</f>
        <v>0</v>
      </c>
      <c r="CB20" s="103" cm="1">
        <f t="array" aca="1" ref="CB20" ca="1">SUM(INDIRECT(ADDRESS(income_min_row, COLUMN()) &amp; ":" &amp; ADDRESS(income_max_row, COLUMN())))</f>
        <v>0</v>
      </c>
      <c r="CC20" s="103" cm="1">
        <f t="array" aca="1" ref="CC20" ca="1">SUM(INDIRECT(ADDRESS(income_min_row, COLUMN()) &amp; ":" &amp; ADDRESS(income_max_row, COLUMN())))</f>
        <v>0</v>
      </c>
      <c r="CD20" s="103" cm="1">
        <f t="array" aca="1" ref="CD20" ca="1">SUM(INDIRECT(ADDRESS(income_min_row, COLUMN()) &amp; ":" &amp; ADDRESS(income_max_row, COLUMN())))</f>
        <v>0</v>
      </c>
      <c r="CE20" s="103" cm="1">
        <f t="array" aca="1" ref="CE20" ca="1">SUM(INDIRECT(ADDRESS(income_min_row, COLUMN()) &amp; ":" &amp; ADDRESS(income_max_row, COLUMN())))</f>
        <v>0</v>
      </c>
      <c r="CF20" s="103" cm="1">
        <f t="array" aca="1" ref="CF20" ca="1">SUM(INDIRECT(ADDRESS(income_min_row, COLUMN()) &amp; ":" &amp; ADDRESS(income_max_row, COLUMN())))</f>
        <v>0</v>
      </c>
      <c r="CG20" s="103" cm="1">
        <f t="array" aca="1" ref="CG20" ca="1">SUM(INDIRECT(ADDRESS(income_min_row, COLUMN()) &amp; ":" &amp; ADDRESS(income_max_row, COLUMN())))</f>
        <v>0</v>
      </c>
      <c r="CH20" s="103" cm="1">
        <f t="array" aca="1" ref="CH20" ca="1">SUM(INDIRECT(ADDRESS(income_min_row, COLUMN()) &amp; ":" &amp; ADDRESS(income_max_row, COLUMN())))</f>
        <v>0</v>
      </c>
      <c r="CI20" s="103" cm="1">
        <f t="array" aca="1" ref="CI20" ca="1">SUM(INDIRECT(ADDRESS(income_min_row, COLUMN()) &amp; ":" &amp; ADDRESS(income_max_row, COLUMN())))</f>
        <v>0</v>
      </c>
      <c r="CK20" s="103" cm="1">
        <f t="array" aca="1" ref="CK20" ca="1">SUM(INDIRECT(ADDRESS(income_min_row, COLUMN()) &amp; ":" &amp; ADDRESS(income_max_row, COLUMN())))</f>
        <v>0</v>
      </c>
      <c r="CL20" s="103" cm="1">
        <f t="array" aca="1" ref="CL20" ca="1">SUM(INDIRECT(ADDRESS(income_min_row, COLUMN()) &amp; ":" &amp; ADDRESS(income_max_row, COLUMN())))</f>
        <v>0</v>
      </c>
      <c r="CM20" s="103" cm="1">
        <f t="array" aca="1" ref="CM20" ca="1">SUM(INDIRECT(ADDRESS(income_min_row, COLUMN()) &amp; ":" &amp; ADDRESS(income_max_row, COLUMN())))</f>
        <v>0</v>
      </c>
      <c r="CN20" s="103" cm="1">
        <f t="array" aca="1" ref="CN20" ca="1">SUM(INDIRECT(ADDRESS(income_min_row, COLUMN()) &amp; ":" &amp; ADDRESS(income_max_row, COLUMN())))</f>
        <v>0</v>
      </c>
      <c r="CO20" s="103" cm="1">
        <f t="array" aca="1" ref="CO20" ca="1">SUM(INDIRECT(ADDRESS(income_min_row, COLUMN()) &amp; ":" &amp; ADDRESS(income_max_row, COLUMN())))</f>
        <v>0</v>
      </c>
      <c r="CP20" s="103" cm="1">
        <f t="array" aca="1" ref="CP20" ca="1">SUM(INDIRECT(ADDRESS(income_min_row, COLUMN()) &amp; ":" &amp; ADDRESS(income_max_row, COLUMN())))</f>
        <v>0</v>
      </c>
      <c r="CQ20" s="103" cm="1">
        <f t="array" aca="1" ref="CQ20" ca="1">SUM(INDIRECT(ADDRESS(income_min_row, COLUMN()) &amp; ":" &amp; ADDRESS(income_max_row, COLUMN())))</f>
        <v>0</v>
      </c>
      <c r="CR20" s="103" cm="1">
        <f t="array" aca="1" ref="CR20" ca="1">SUM(INDIRECT(ADDRESS(income_min_row, COLUMN()) &amp; ":" &amp; ADDRESS(income_max_row, COLUMN())))</f>
        <v>0</v>
      </c>
      <c r="CS20" s="103" cm="1">
        <f t="array" aca="1" ref="CS20" ca="1">SUM(INDIRECT(ADDRESS(income_min_row, COLUMN()) &amp; ":" &amp; ADDRESS(income_max_row, COLUMN())))</f>
        <v>0</v>
      </c>
      <c r="CT20" s="103" cm="1">
        <f t="array" aca="1" ref="CT20" ca="1">SUM(INDIRECT(ADDRESS(income_min_row, COLUMN()) &amp; ":" &amp; ADDRESS(income_max_row, COLUMN())))</f>
        <v>0</v>
      </c>
      <c r="CU20" s="103" cm="1">
        <f t="array" aca="1" ref="CU20" ca="1">SUM(INDIRECT(ADDRESS(income_min_row, COLUMN()) &amp; ":" &amp; ADDRESS(income_max_row, COLUMN())))</f>
        <v>0</v>
      </c>
      <c r="CV20" s="103" cm="1">
        <f t="array" aca="1" ref="CV20" ca="1">SUM(INDIRECT(ADDRESS(income_min_row, COLUMN()) &amp; ":" &amp; ADDRESS(income_max_row, COLUMN())))</f>
        <v>0</v>
      </c>
      <c r="CW20" s="103" cm="1">
        <f t="array" aca="1" ref="CW20" ca="1">SUM(INDIRECT(ADDRESS(income_min_row, COLUMN()) &amp; ":" &amp; ADDRESS(income_max_row, COLUMN())))</f>
        <v>0</v>
      </c>
      <c r="CY20" s="103" cm="1">
        <f t="array" aca="1" ref="CY20" ca="1">SUM(INDIRECT(ADDRESS(income_min_row, COLUMN()) &amp; ":" &amp; ADDRESS(income_max_row, COLUMN())))</f>
        <v>0</v>
      </c>
      <c r="CZ20" s="103" cm="1">
        <f t="array" aca="1" ref="CZ20" ca="1">SUM(INDIRECT(ADDRESS(income_min_row, COLUMN()) &amp; ":" &amp; ADDRESS(income_max_row, COLUMN())))</f>
        <v>0</v>
      </c>
      <c r="DA20" s="103" cm="1">
        <f t="array" aca="1" ref="DA20" ca="1">SUM(INDIRECT(ADDRESS(income_min_row, COLUMN()) &amp; ":" &amp; ADDRESS(income_max_row, COLUMN())))</f>
        <v>0</v>
      </c>
      <c r="DB20" s="103" cm="1">
        <f t="array" aca="1" ref="DB20" ca="1">SUM(INDIRECT(ADDRESS(income_min_row, COLUMN()) &amp; ":" &amp; ADDRESS(income_max_row, COLUMN())))</f>
        <v>0</v>
      </c>
      <c r="DC20" s="103" cm="1">
        <f t="array" aca="1" ref="DC20" ca="1">SUM(INDIRECT(ADDRESS(income_min_row, COLUMN()) &amp; ":" &amp; ADDRESS(income_max_row, COLUMN())))</f>
        <v>0</v>
      </c>
      <c r="DD20" s="103" cm="1">
        <f t="array" aca="1" ref="DD20" ca="1">SUM(INDIRECT(ADDRESS(income_min_row, COLUMN()) &amp; ":" &amp; ADDRESS(income_max_row, COLUMN())))</f>
        <v>0</v>
      </c>
      <c r="DE20" s="103" cm="1">
        <f t="array" aca="1" ref="DE20" ca="1">SUM(INDIRECT(ADDRESS(income_min_row, COLUMN()) &amp; ":" &amp; ADDRESS(income_max_row, COLUMN())))</f>
        <v>0</v>
      </c>
      <c r="DF20" s="103" cm="1">
        <f t="array" aca="1" ref="DF20" ca="1">SUM(INDIRECT(ADDRESS(income_min_row, COLUMN()) &amp; ":" &amp; ADDRESS(income_max_row, COLUMN())))</f>
        <v>0</v>
      </c>
      <c r="DG20" s="103" cm="1">
        <f t="array" aca="1" ref="DG20" ca="1">SUM(INDIRECT(ADDRESS(income_min_row, COLUMN()) &amp; ":" &amp; ADDRESS(income_max_row, COLUMN())))</f>
        <v>0</v>
      </c>
      <c r="DH20" s="103" cm="1">
        <f t="array" aca="1" ref="DH20" ca="1">SUM(INDIRECT(ADDRESS(income_min_row, COLUMN()) &amp; ":" &amp; ADDRESS(income_max_row, COLUMN())))</f>
        <v>0</v>
      </c>
      <c r="DI20" s="103" cm="1">
        <f t="array" aca="1" ref="DI20" ca="1">SUM(INDIRECT(ADDRESS(income_min_row, COLUMN()) &amp; ":" &amp; ADDRESS(income_max_row, COLUMN())))</f>
        <v>0</v>
      </c>
      <c r="DJ20" s="103" cm="1">
        <f t="array" aca="1" ref="DJ20" ca="1">SUM(INDIRECT(ADDRESS(income_min_row, COLUMN()) &amp; ":" &amp; ADDRESS(income_max_row, COLUMN())))</f>
        <v>0</v>
      </c>
      <c r="DK20" s="103" cm="1">
        <f t="array" aca="1" ref="DK20" ca="1">SUM(INDIRECT(ADDRESS(income_min_row, COLUMN()) &amp; ":" &amp; ADDRESS(income_max_row, COLUMN())))</f>
        <v>0</v>
      </c>
      <c r="DM20" s="103" cm="1">
        <f t="array" aca="1" ref="DM20" ca="1">SUM(INDIRECT(ADDRESS(income_min_row, COLUMN()) &amp; ":" &amp; ADDRESS(income_max_row, COLUMN())))</f>
        <v>0</v>
      </c>
      <c r="DN20" s="103" cm="1">
        <f t="array" aca="1" ref="DN20" ca="1">SUM(INDIRECT(ADDRESS(income_min_row, COLUMN()) &amp; ":" &amp; ADDRESS(income_max_row, COLUMN())))</f>
        <v>0</v>
      </c>
      <c r="DO20" s="103" cm="1">
        <f t="array" aca="1" ref="DO20" ca="1">SUM(INDIRECT(ADDRESS(income_min_row, COLUMN()) &amp; ":" &amp; ADDRESS(income_max_row, COLUMN())))</f>
        <v>0</v>
      </c>
      <c r="DP20" s="103" cm="1">
        <f t="array" aca="1" ref="DP20" ca="1">SUM(INDIRECT(ADDRESS(income_min_row, COLUMN()) &amp; ":" &amp; ADDRESS(income_max_row, COLUMN())))</f>
        <v>0</v>
      </c>
      <c r="DQ20" s="103" cm="1">
        <f t="array" aca="1" ref="DQ20" ca="1">SUM(INDIRECT(ADDRESS(income_min_row, COLUMN()) &amp; ":" &amp; ADDRESS(income_max_row, COLUMN())))</f>
        <v>0</v>
      </c>
      <c r="DR20" s="103" cm="1">
        <f t="array" aca="1" ref="DR20" ca="1">SUM(INDIRECT(ADDRESS(income_min_row, COLUMN()) &amp; ":" &amp; ADDRESS(income_max_row, COLUMN())))</f>
        <v>0</v>
      </c>
      <c r="DS20" s="103" cm="1">
        <f t="array" aca="1" ref="DS20" ca="1">SUM(INDIRECT(ADDRESS(income_min_row, COLUMN()) &amp; ":" &amp; ADDRESS(income_max_row, COLUMN())))</f>
        <v>0</v>
      </c>
      <c r="DT20" s="103" cm="1">
        <f t="array" aca="1" ref="DT20" ca="1">SUM(INDIRECT(ADDRESS(income_min_row, COLUMN()) &amp; ":" &amp; ADDRESS(income_max_row, COLUMN())))</f>
        <v>0</v>
      </c>
      <c r="DU20" s="103" cm="1">
        <f t="array" aca="1" ref="DU20" ca="1">SUM(INDIRECT(ADDRESS(income_min_row, COLUMN()) &amp; ":" &amp; ADDRESS(income_max_row, COLUMN())))</f>
        <v>0</v>
      </c>
      <c r="DV20" s="103" cm="1">
        <f t="array" aca="1" ref="DV20" ca="1">SUM(INDIRECT(ADDRESS(income_min_row, COLUMN()) &amp; ":" &amp; ADDRESS(income_max_row, COLUMN())))</f>
        <v>0</v>
      </c>
      <c r="DW20" s="103" cm="1">
        <f t="array" aca="1" ref="DW20" ca="1">SUM(INDIRECT(ADDRESS(income_min_row, COLUMN()) &amp; ":" &amp; ADDRESS(income_max_row, COLUMN())))</f>
        <v>0</v>
      </c>
      <c r="DX20" s="103" cm="1">
        <f t="array" aca="1" ref="DX20" ca="1">SUM(INDIRECT(ADDRESS(income_min_row, COLUMN()) &amp; ":" &amp; ADDRESS(income_max_row, COLUMN())))</f>
        <v>0</v>
      </c>
      <c r="DY20" s="103" cm="1">
        <f t="array" aca="1" ref="DY20" ca="1">SUM(INDIRECT(ADDRESS(income_min_row, COLUMN()) &amp; ":" &amp; ADDRESS(income_max_row, COLUMN())))</f>
        <v>0</v>
      </c>
      <c r="EA20" s="103" cm="1">
        <f t="array" aca="1" ref="EA20" ca="1">SUM(INDIRECT(ADDRESS(income_min_row, COLUMN()) &amp; ":" &amp; ADDRESS(income_max_row, COLUMN())))</f>
        <v>0</v>
      </c>
      <c r="EB20" s="103" cm="1">
        <f t="array" aca="1" ref="EB20" ca="1">SUM(INDIRECT(ADDRESS(income_min_row, COLUMN()) &amp; ":" &amp; ADDRESS(income_max_row, COLUMN())))</f>
        <v>0</v>
      </c>
      <c r="EC20" s="103" cm="1">
        <f t="array" aca="1" ref="EC20" ca="1">SUM(INDIRECT(ADDRESS(income_min_row, COLUMN()) &amp; ":" &amp; ADDRESS(income_max_row, COLUMN())))</f>
        <v>0</v>
      </c>
      <c r="ED20" s="103" cm="1">
        <f t="array" aca="1" ref="ED20" ca="1">SUM(INDIRECT(ADDRESS(income_min_row, COLUMN()) &amp; ":" &amp; ADDRESS(income_max_row, COLUMN())))</f>
        <v>0</v>
      </c>
      <c r="EE20" s="103" cm="1">
        <f t="array" aca="1" ref="EE20" ca="1">SUM(INDIRECT(ADDRESS(income_min_row, COLUMN()) &amp; ":" &amp; ADDRESS(income_max_row, COLUMN())))</f>
        <v>0</v>
      </c>
      <c r="EF20" s="103" cm="1">
        <f t="array" aca="1" ref="EF20" ca="1">SUM(INDIRECT(ADDRESS(income_min_row, COLUMN()) &amp; ":" &amp; ADDRESS(income_max_row, COLUMN())))</f>
        <v>0</v>
      </c>
      <c r="EG20" s="103" cm="1">
        <f t="array" aca="1" ref="EG20" ca="1">SUM(INDIRECT(ADDRESS(income_min_row, COLUMN()) &amp; ":" &amp; ADDRESS(income_max_row, COLUMN())))</f>
        <v>0</v>
      </c>
      <c r="EH20" s="103" cm="1">
        <f t="array" aca="1" ref="EH20" ca="1">SUM(INDIRECT(ADDRESS(income_min_row, COLUMN()) &amp; ":" &amp; ADDRESS(income_max_row, COLUMN())))</f>
        <v>0</v>
      </c>
      <c r="EI20" s="103" cm="1">
        <f t="array" aca="1" ref="EI20" ca="1">SUM(INDIRECT(ADDRESS(income_min_row, COLUMN()) &amp; ":" &amp; ADDRESS(income_max_row, COLUMN())))</f>
        <v>0</v>
      </c>
      <c r="EJ20" s="103" cm="1">
        <f t="array" aca="1" ref="EJ20" ca="1">SUM(INDIRECT(ADDRESS(income_min_row, COLUMN()) &amp; ":" &amp; ADDRESS(income_max_row, COLUMN())))</f>
        <v>0</v>
      </c>
      <c r="EK20" s="103" cm="1">
        <f t="array" aca="1" ref="EK20" ca="1">SUM(INDIRECT(ADDRESS(income_min_row, COLUMN()) &amp; ":" &amp; ADDRESS(income_max_row, COLUMN())))</f>
        <v>0</v>
      </c>
      <c r="EL20" s="103" cm="1">
        <f t="array" aca="1" ref="EL20" ca="1">SUM(INDIRECT(ADDRESS(income_min_row, COLUMN()) &amp; ":" &amp; ADDRESS(income_max_row, COLUMN())))</f>
        <v>0</v>
      </c>
      <c r="EM20" s="103" cm="1">
        <f t="array" aca="1" ref="EM20" ca="1">SUM(INDIRECT(ADDRESS(income_min_row, COLUMN()) &amp; ":" &amp; ADDRESS(income_max_row, COLUMN())))</f>
        <v>0</v>
      </c>
      <c r="EO20" s="103" cm="1">
        <f t="array" aca="1" ref="EO20" ca="1">SUM(INDIRECT(ADDRESS(income_min_row, COLUMN()) &amp; ":" &amp; ADDRESS(income_max_row, COLUMN())))</f>
        <v>0</v>
      </c>
      <c r="EP20" s="103" cm="1">
        <f t="array" aca="1" ref="EP20" ca="1">SUM(INDIRECT(ADDRESS(income_min_row, COLUMN()) &amp; ":" &amp; ADDRESS(income_max_row, COLUMN())))</f>
        <v>0</v>
      </c>
      <c r="EQ20" s="103" cm="1">
        <f t="array" aca="1" ref="EQ20" ca="1">SUM(INDIRECT(ADDRESS(income_min_row, COLUMN()) &amp; ":" &amp; ADDRESS(income_max_row, COLUMN())))</f>
        <v>0</v>
      </c>
      <c r="ER20" s="103" cm="1">
        <f t="array" aca="1" ref="ER20" ca="1">SUM(INDIRECT(ADDRESS(income_min_row, COLUMN()) &amp; ":" &amp; ADDRESS(income_max_row, COLUMN())))</f>
        <v>0</v>
      </c>
      <c r="ES20" s="103" cm="1">
        <f t="array" aca="1" ref="ES20" ca="1">SUM(INDIRECT(ADDRESS(income_min_row, COLUMN()) &amp; ":" &amp; ADDRESS(income_max_row, COLUMN())))</f>
        <v>0</v>
      </c>
      <c r="ET20" s="103" cm="1">
        <f t="array" aca="1" ref="ET20" ca="1">SUM(INDIRECT(ADDRESS(income_min_row, COLUMN()) &amp; ":" &amp; ADDRESS(income_max_row, COLUMN())))</f>
        <v>0</v>
      </c>
      <c r="EU20" s="103" cm="1">
        <f t="array" aca="1" ref="EU20" ca="1">SUM(INDIRECT(ADDRESS(income_min_row, COLUMN()) &amp; ":" &amp; ADDRESS(income_max_row, COLUMN())))</f>
        <v>0</v>
      </c>
      <c r="EV20" s="103" cm="1">
        <f t="array" aca="1" ref="EV20" ca="1">SUM(INDIRECT(ADDRESS(income_min_row, COLUMN()) &amp; ":" &amp; ADDRESS(income_max_row, COLUMN())))</f>
        <v>0</v>
      </c>
      <c r="EW20" s="103" cm="1">
        <f t="array" aca="1" ref="EW20" ca="1">SUM(INDIRECT(ADDRESS(income_min_row, COLUMN()) &amp; ":" &amp; ADDRESS(income_max_row, COLUMN())))</f>
        <v>0</v>
      </c>
      <c r="EX20" s="103" cm="1">
        <f t="array" aca="1" ref="EX20" ca="1">SUM(INDIRECT(ADDRESS(income_min_row, COLUMN()) &amp; ":" &amp; ADDRESS(income_max_row, COLUMN())))</f>
        <v>0</v>
      </c>
      <c r="EY20" s="103" cm="1">
        <f t="array" aca="1" ref="EY20" ca="1">SUM(INDIRECT(ADDRESS(income_min_row, COLUMN()) &amp; ":" &amp; ADDRESS(income_max_row, COLUMN())))</f>
        <v>0</v>
      </c>
      <c r="EZ20" s="103" cm="1">
        <f t="array" aca="1" ref="EZ20" ca="1">SUM(INDIRECT(ADDRESS(income_min_row, COLUMN()) &amp; ":" &amp; ADDRESS(income_max_row, COLUMN())))</f>
        <v>0</v>
      </c>
      <c r="FA20" s="103" cm="1">
        <f t="array" aca="1" ref="FA20" ca="1">SUM(INDIRECT(ADDRESS(income_min_row, COLUMN()) &amp; ":" &amp; ADDRESS(income_max_row, COLUMN())))</f>
        <v>0</v>
      </c>
    </row>
    <row r="22" spans="3:157" x14ac:dyDescent="0.25">
      <c r="C22" s="11" t="s">
        <v>8</v>
      </c>
      <c r="E22" s="17">
        <f>DATE(E$5, 1, 1)</f>
        <v>45658</v>
      </c>
      <c r="F22" s="17">
        <f>DATE(E$5, 2, 1)</f>
        <v>45689</v>
      </c>
      <c r="G22" s="17">
        <f>DATE(E$5, 3, 1)</f>
        <v>45717</v>
      </c>
      <c r="H22" s="17">
        <f>DATE(E$5, 4, 1)</f>
        <v>45748</v>
      </c>
      <c r="I22" s="17">
        <f>DATE(E$5, 5, 1)</f>
        <v>45778</v>
      </c>
      <c r="J22" s="17">
        <f>DATE(E$5, 6, 1)</f>
        <v>45809</v>
      </c>
      <c r="K22" s="17">
        <f>DATE(E$5, 7, 1)</f>
        <v>45839</v>
      </c>
      <c r="L22" s="17">
        <f>DATE(E$5, 8, 1)</f>
        <v>45870</v>
      </c>
      <c r="M22" s="17">
        <f>DATE(E$5, 9, 1)</f>
        <v>45901</v>
      </c>
      <c r="N22" s="17">
        <f>DATE(E$5, 10, 1)</f>
        <v>45931</v>
      </c>
      <c r="O22" s="17">
        <f>DATE(E$5, 11, 1)</f>
        <v>45962</v>
      </c>
      <c r="P22" s="17">
        <f>DATE(E$5, 12, 1)</f>
        <v>45992</v>
      </c>
      <c r="Q22" s="18">
        <f>E$5</f>
        <v>2025</v>
      </c>
      <c r="S22" s="17">
        <f>DATE(S$5, 1, 1)</f>
        <v>46023</v>
      </c>
      <c r="T22" s="17">
        <f>DATE(S$5, 2, 1)</f>
        <v>46054</v>
      </c>
      <c r="U22" s="17">
        <f>DATE(S$5, 3, 1)</f>
        <v>46082</v>
      </c>
      <c r="V22" s="17">
        <f>DATE(S$5, 4, 1)</f>
        <v>46113</v>
      </c>
      <c r="W22" s="17">
        <f>DATE(S$5, 5, 1)</f>
        <v>46143</v>
      </c>
      <c r="X22" s="17">
        <f>DATE(S$5, 6, 1)</f>
        <v>46174</v>
      </c>
      <c r="Y22" s="17">
        <f>DATE(S$5, 7, 1)</f>
        <v>46204</v>
      </c>
      <c r="Z22" s="17">
        <f>DATE(S$5, 8, 1)</f>
        <v>46235</v>
      </c>
      <c r="AA22" s="17">
        <f>DATE(S$5, 9, 1)</f>
        <v>46266</v>
      </c>
      <c r="AB22" s="17">
        <f>DATE(S$5, 10, 1)</f>
        <v>46296</v>
      </c>
      <c r="AC22" s="17">
        <f>DATE(S$5, 11, 1)</f>
        <v>46327</v>
      </c>
      <c r="AD22" s="17">
        <f>DATE(S$5, 12, 1)</f>
        <v>46357</v>
      </c>
      <c r="AE22" s="18">
        <f>S$5</f>
        <v>2026</v>
      </c>
      <c r="AG22" s="17">
        <f t="shared" ref="AG22" si="262">DATE(AG$5, 1, 1)</f>
        <v>46388</v>
      </c>
      <c r="AH22" s="17">
        <f t="shared" ref="AH22" si="263">DATE(AG$5, 2, 1)</f>
        <v>46419</v>
      </c>
      <c r="AI22" s="17">
        <f t="shared" ref="AI22" si="264">DATE(AG$5, 3, 1)</f>
        <v>46447</v>
      </c>
      <c r="AJ22" s="17">
        <f t="shared" ref="AJ22" si="265">DATE(AG$5, 4, 1)</f>
        <v>46478</v>
      </c>
      <c r="AK22" s="17">
        <f t="shared" ref="AK22" si="266">DATE(AG$5, 5, 1)</f>
        <v>46508</v>
      </c>
      <c r="AL22" s="17">
        <f t="shared" ref="AL22" si="267">DATE(AG$5, 6, 1)</f>
        <v>46539</v>
      </c>
      <c r="AM22" s="17">
        <f t="shared" ref="AM22" si="268">DATE(AG$5, 7, 1)</f>
        <v>46569</v>
      </c>
      <c r="AN22" s="17">
        <f t="shared" ref="AN22" si="269">DATE(AG$5, 8, 1)</f>
        <v>46600</v>
      </c>
      <c r="AO22" s="17">
        <f t="shared" ref="AO22" si="270">DATE(AG$5, 9, 1)</f>
        <v>46631</v>
      </c>
      <c r="AP22" s="17">
        <f t="shared" ref="AP22" si="271">DATE(AG$5, 10, 1)</f>
        <v>46661</v>
      </c>
      <c r="AQ22" s="17">
        <f t="shared" ref="AQ22" si="272">DATE(AG$5, 11, 1)</f>
        <v>46692</v>
      </c>
      <c r="AR22" s="17">
        <f t="shared" ref="AR22" si="273">DATE(AG$5, 12, 1)</f>
        <v>46722</v>
      </c>
      <c r="AS22" s="18">
        <f t="shared" ref="AS22" si="274">AG$5</f>
        <v>2027</v>
      </c>
      <c r="AU22" s="17">
        <f t="shared" ref="AU22" si="275">DATE(AU$5, 1, 1)</f>
        <v>46753</v>
      </c>
      <c r="AV22" s="17">
        <f t="shared" ref="AV22" si="276">DATE(AU$5, 2, 1)</f>
        <v>46784</v>
      </c>
      <c r="AW22" s="17">
        <f t="shared" ref="AW22" si="277">DATE(AU$5, 3, 1)</f>
        <v>46813</v>
      </c>
      <c r="AX22" s="17">
        <f t="shared" ref="AX22" si="278">DATE(AU$5, 4, 1)</f>
        <v>46844</v>
      </c>
      <c r="AY22" s="17">
        <f t="shared" ref="AY22" si="279">DATE(AU$5, 5, 1)</f>
        <v>46874</v>
      </c>
      <c r="AZ22" s="17">
        <f t="shared" ref="AZ22" si="280">DATE(AU$5, 6, 1)</f>
        <v>46905</v>
      </c>
      <c r="BA22" s="17">
        <f t="shared" ref="BA22" si="281">DATE(AU$5, 7, 1)</f>
        <v>46935</v>
      </c>
      <c r="BB22" s="17">
        <f t="shared" ref="BB22" si="282">DATE(AU$5, 8, 1)</f>
        <v>46966</v>
      </c>
      <c r="BC22" s="17">
        <f t="shared" ref="BC22" si="283">DATE(AU$5, 9, 1)</f>
        <v>46997</v>
      </c>
      <c r="BD22" s="17">
        <f t="shared" ref="BD22" si="284">DATE(AU$5, 10, 1)</f>
        <v>47027</v>
      </c>
      <c r="BE22" s="17">
        <f t="shared" ref="BE22" si="285">DATE(AU$5, 11, 1)</f>
        <v>47058</v>
      </c>
      <c r="BF22" s="17">
        <f t="shared" ref="BF22" si="286">DATE(AU$5, 12, 1)</f>
        <v>47088</v>
      </c>
      <c r="BG22" s="18">
        <f t="shared" ref="BG22" si="287">AU$5</f>
        <v>2028</v>
      </c>
      <c r="BI22" s="17">
        <f t="shared" ref="BI22" si="288">DATE(BI$5, 1, 1)</f>
        <v>47119</v>
      </c>
      <c r="BJ22" s="17">
        <f t="shared" ref="BJ22" si="289">DATE(BI$5, 2, 1)</f>
        <v>47150</v>
      </c>
      <c r="BK22" s="17">
        <f t="shared" ref="BK22" si="290">DATE(BI$5, 3, 1)</f>
        <v>47178</v>
      </c>
      <c r="BL22" s="17">
        <f t="shared" ref="BL22" si="291">DATE(BI$5, 4, 1)</f>
        <v>47209</v>
      </c>
      <c r="BM22" s="17">
        <f t="shared" ref="BM22" si="292">DATE(BI$5, 5, 1)</f>
        <v>47239</v>
      </c>
      <c r="BN22" s="17">
        <f t="shared" ref="BN22" si="293">DATE(BI$5, 6, 1)</f>
        <v>47270</v>
      </c>
      <c r="BO22" s="17">
        <f t="shared" ref="BO22" si="294">DATE(BI$5, 7, 1)</f>
        <v>47300</v>
      </c>
      <c r="BP22" s="17">
        <f t="shared" ref="BP22" si="295">DATE(BI$5, 8, 1)</f>
        <v>47331</v>
      </c>
      <c r="BQ22" s="17">
        <f t="shared" ref="BQ22" si="296">DATE(BI$5, 9, 1)</f>
        <v>47362</v>
      </c>
      <c r="BR22" s="17">
        <f t="shared" ref="BR22" si="297">DATE(BI$5, 10, 1)</f>
        <v>47392</v>
      </c>
      <c r="BS22" s="17">
        <f t="shared" ref="BS22" si="298">DATE(BI$5, 11, 1)</f>
        <v>47423</v>
      </c>
      <c r="BT22" s="17">
        <f t="shared" ref="BT22" si="299">DATE(BI$5, 12, 1)</f>
        <v>47453</v>
      </c>
      <c r="BU22" s="18">
        <f t="shared" ref="BU22" si="300">BI$5</f>
        <v>2029</v>
      </c>
      <c r="BW22" s="17">
        <f t="shared" ref="BW22:EA22" si="301">DATE(BW$5, 1, 1)</f>
        <v>47484</v>
      </c>
      <c r="BX22" s="17">
        <f t="shared" ref="BX22" si="302">DATE(BW$5, 2, 1)</f>
        <v>47515</v>
      </c>
      <c r="BY22" s="17">
        <f t="shared" ref="BY22" si="303">DATE(BW$5, 3, 1)</f>
        <v>47543</v>
      </c>
      <c r="BZ22" s="17">
        <f t="shared" ref="BZ22" si="304">DATE(BW$5, 4, 1)</f>
        <v>47574</v>
      </c>
      <c r="CA22" s="17">
        <f t="shared" ref="CA22" si="305">DATE(BW$5, 5, 1)</f>
        <v>47604</v>
      </c>
      <c r="CB22" s="17">
        <f t="shared" ref="CB22" si="306">DATE(BW$5, 6, 1)</f>
        <v>47635</v>
      </c>
      <c r="CC22" s="17">
        <f t="shared" ref="CC22" si="307">DATE(BW$5, 7, 1)</f>
        <v>47665</v>
      </c>
      <c r="CD22" s="17">
        <f t="shared" ref="CD22" si="308">DATE(BW$5, 8, 1)</f>
        <v>47696</v>
      </c>
      <c r="CE22" s="17">
        <f t="shared" ref="CE22" si="309">DATE(BW$5, 9, 1)</f>
        <v>47727</v>
      </c>
      <c r="CF22" s="17">
        <f t="shared" ref="CF22" si="310">DATE(BW$5, 10, 1)</f>
        <v>47757</v>
      </c>
      <c r="CG22" s="17">
        <f t="shared" ref="CG22" si="311">DATE(BW$5, 11, 1)</f>
        <v>47788</v>
      </c>
      <c r="CH22" s="17">
        <f t="shared" ref="CH22" si="312">DATE(BW$5, 12, 1)</f>
        <v>47818</v>
      </c>
      <c r="CI22" s="18">
        <f t="shared" ref="CI22" si="313">BW$5</f>
        <v>2030</v>
      </c>
      <c r="CK22" s="17">
        <f t="shared" si="301"/>
        <v>47849</v>
      </c>
      <c r="CL22" s="17">
        <f t="shared" ref="CL22" si="314">DATE(CK$5, 2, 1)</f>
        <v>47880</v>
      </c>
      <c r="CM22" s="17">
        <f t="shared" ref="CM22" si="315">DATE(CK$5, 3, 1)</f>
        <v>47908</v>
      </c>
      <c r="CN22" s="17">
        <f t="shared" ref="CN22" si="316">DATE(CK$5, 4, 1)</f>
        <v>47939</v>
      </c>
      <c r="CO22" s="17">
        <f t="shared" ref="CO22" si="317">DATE(CK$5, 5, 1)</f>
        <v>47969</v>
      </c>
      <c r="CP22" s="17">
        <f t="shared" ref="CP22" si="318">DATE(CK$5, 6, 1)</f>
        <v>48000</v>
      </c>
      <c r="CQ22" s="17">
        <f t="shared" ref="CQ22" si="319">DATE(CK$5, 7, 1)</f>
        <v>48030</v>
      </c>
      <c r="CR22" s="17">
        <f t="shared" ref="CR22" si="320">DATE(CK$5, 8, 1)</f>
        <v>48061</v>
      </c>
      <c r="CS22" s="17">
        <f t="shared" ref="CS22" si="321">DATE(CK$5, 9, 1)</f>
        <v>48092</v>
      </c>
      <c r="CT22" s="17">
        <f t="shared" ref="CT22" si="322">DATE(CK$5, 10, 1)</f>
        <v>48122</v>
      </c>
      <c r="CU22" s="17">
        <f t="shared" ref="CU22" si="323">DATE(CK$5, 11, 1)</f>
        <v>48153</v>
      </c>
      <c r="CV22" s="17">
        <f t="shared" ref="CV22" si="324">DATE(CK$5, 12, 1)</f>
        <v>48183</v>
      </c>
      <c r="CW22" s="18">
        <f t="shared" ref="CW22" si="325">CK$5</f>
        <v>2031</v>
      </c>
      <c r="CY22" s="17">
        <f t="shared" si="301"/>
        <v>48214</v>
      </c>
      <c r="CZ22" s="17">
        <f t="shared" ref="CZ22" si="326">DATE(CY$5, 2, 1)</f>
        <v>48245</v>
      </c>
      <c r="DA22" s="17">
        <f t="shared" ref="DA22" si="327">DATE(CY$5, 3, 1)</f>
        <v>48274</v>
      </c>
      <c r="DB22" s="17">
        <f t="shared" ref="DB22" si="328">DATE(CY$5, 4, 1)</f>
        <v>48305</v>
      </c>
      <c r="DC22" s="17">
        <f t="shared" ref="DC22" si="329">DATE(CY$5, 5, 1)</f>
        <v>48335</v>
      </c>
      <c r="DD22" s="17">
        <f t="shared" ref="DD22" si="330">DATE(CY$5, 6, 1)</f>
        <v>48366</v>
      </c>
      <c r="DE22" s="17">
        <f t="shared" ref="DE22" si="331">DATE(CY$5, 7, 1)</f>
        <v>48396</v>
      </c>
      <c r="DF22" s="17">
        <f t="shared" ref="DF22" si="332">DATE(CY$5, 8, 1)</f>
        <v>48427</v>
      </c>
      <c r="DG22" s="17">
        <f t="shared" ref="DG22" si="333">DATE(CY$5, 9, 1)</f>
        <v>48458</v>
      </c>
      <c r="DH22" s="17">
        <f t="shared" ref="DH22" si="334">DATE(CY$5, 10, 1)</f>
        <v>48488</v>
      </c>
      <c r="DI22" s="17">
        <f t="shared" ref="DI22" si="335">DATE(CY$5, 11, 1)</f>
        <v>48519</v>
      </c>
      <c r="DJ22" s="17">
        <f t="shared" ref="DJ22" si="336">DATE(CY$5, 12, 1)</f>
        <v>48549</v>
      </c>
      <c r="DK22" s="18">
        <f t="shared" ref="DK22" si="337">CY$5</f>
        <v>2032</v>
      </c>
      <c r="DM22" s="17">
        <f t="shared" si="301"/>
        <v>48580</v>
      </c>
      <c r="DN22" s="17">
        <f t="shared" ref="DN22" si="338">DATE(DM$5, 2, 1)</f>
        <v>48611</v>
      </c>
      <c r="DO22" s="17">
        <f t="shared" ref="DO22" si="339">DATE(DM$5, 3, 1)</f>
        <v>48639</v>
      </c>
      <c r="DP22" s="17">
        <f t="shared" ref="DP22" si="340">DATE(DM$5, 4, 1)</f>
        <v>48670</v>
      </c>
      <c r="DQ22" s="17">
        <f t="shared" ref="DQ22" si="341">DATE(DM$5, 5, 1)</f>
        <v>48700</v>
      </c>
      <c r="DR22" s="17">
        <f t="shared" ref="DR22" si="342">DATE(DM$5, 6, 1)</f>
        <v>48731</v>
      </c>
      <c r="DS22" s="17">
        <f t="shared" ref="DS22" si="343">DATE(DM$5, 7, 1)</f>
        <v>48761</v>
      </c>
      <c r="DT22" s="17">
        <f t="shared" ref="DT22" si="344">DATE(DM$5, 8, 1)</f>
        <v>48792</v>
      </c>
      <c r="DU22" s="17">
        <f t="shared" ref="DU22" si="345">DATE(DM$5, 9, 1)</f>
        <v>48823</v>
      </c>
      <c r="DV22" s="17">
        <f t="shared" ref="DV22" si="346">DATE(DM$5, 10, 1)</f>
        <v>48853</v>
      </c>
      <c r="DW22" s="17">
        <f t="shared" ref="DW22" si="347">DATE(DM$5, 11, 1)</f>
        <v>48884</v>
      </c>
      <c r="DX22" s="17">
        <f t="shared" ref="DX22" si="348">DATE(DM$5, 12, 1)</f>
        <v>48914</v>
      </c>
      <c r="DY22" s="18">
        <f t="shared" ref="DY22" si="349">DM$5</f>
        <v>2033</v>
      </c>
      <c r="EA22" s="17">
        <f t="shared" si="301"/>
        <v>48945</v>
      </c>
      <c r="EB22" s="17">
        <f t="shared" ref="EB22" si="350">DATE(EA$5, 2, 1)</f>
        <v>48976</v>
      </c>
      <c r="EC22" s="17">
        <f t="shared" ref="EC22" si="351">DATE(EA$5, 3, 1)</f>
        <v>49004</v>
      </c>
      <c r="ED22" s="17">
        <f t="shared" ref="ED22" si="352">DATE(EA$5, 4, 1)</f>
        <v>49035</v>
      </c>
      <c r="EE22" s="17">
        <f t="shared" ref="EE22" si="353">DATE(EA$5, 5, 1)</f>
        <v>49065</v>
      </c>
      <c r="EF22" s="17">
        <f t="shared" ref="EF22" si="354">DATE(EA$5, 6, 1)</f>
        <v>49096</v>
      </c>
      <c r="EG22" s="17">
        <f t="shared" ref="EG22" si="355">DATE(EA$5, 7, 1)</f>
        <v>49126</v>
      </c>
      <c r="EH22" s="17">
        <f t="shared" ref="EH22" si="356">DATE(EA$5, 8, 1)</f>
        <v>49157</v>
      </c>
      <c r="EI22" s="17">
        <f t="shared" ref="EI22" si="357">DATE(EA$5, 9, 1)</f>
        <v>49188</v>
      </c>
      <c r="EJ22" s="17">
        <f t="shared" ref="EJ22" si="358">DATE(EA$5, 10, 1)</f>
        <v>49218</v>
      </c>
      <c r="EK22" s="17">
        <f t="shared" ref="EK22" si="359">DATE(EA$5, 11, 1)</f>
        <v>49249</v>
      </c>
      <c r="EL22" s="17">
        <f t="shared" ref="EL22" si="360">DATE(EA$5, 12, 1)</f>
        <v>49279</v>
      </c>
      <c r="EM22" s="18">
        <f t="shared" ref="EM22" si="361">EA$5</f>
        <v>2034</v>
      </c>
      <c r="EO22" s="17">
        <f t="shared" ref="EO22" si="362">DATE(EO$5, 1, 1)</f>
        <v>49310</v>
      </c>
      <c r="EP22" s="17">
        <f t="shared" ref="EP22" si="363">DATE(EO$5, 2, 1)</f>
        <v>49341</v>
      </c>
      <c r="EQ22" s="17">
        <f t="shared" ref="EQ22" si="364">DATE(EO$5, 3, 1)</f>
        <v>49369</v>
      </c>
      <c r="ER22" s="17">
        <f t="shared" ref="ER22" si="365">DATE(EO$5, 4, 1)</f>
        <v>49400</v>
      </c>
      <c r="ES22" s="17">
        <f t="shared" ref="ES22" si="366">DATE(EO$5, 5, 1)</f>
        <v>49430</v>
      </c>
      <c r="ET22" s="17">
        <f t="shared" ref="ET22" si="367">DATE(EO$5, 6, 1)</f>
        <v>49461</v>
      </c>
      <c r="EU22" s="17">
        <f t="shared" ref="EU22" si="368">DATE(EO$5, 7, 1)</f>
        <v>49491</v>
      </c>
      <c r="EV22" s="17">
        <f t="shared" ref="EV22" si="369">DATE(EO$5, 8, 1)</f>
        <v>49522</v>
      </c>
      <c r="EW22" s="17">
        <f t="shared" ref="EW22" si="370">DATE(EO$5, 9, 1)</f>
        <v>49553</v>
      </c>
      <c r="EX22" s="17">
        <f t="shared" ref="EX22" si="371">DATE(EO$5, 10, 1)</f>
        <v>49583</v>
      </c>
      <c r="EY22" s="17">
        <f t="shared" ref="EY22" si="372">DATE(EO$5, 11, 1)</f>
        <v>49614</v>
      </c>
      <c r="EZ22" s="17">
        <f t="shared" ref="EZ22" si="373">DATE(EO$5, 12, 1)</f>
        <v>49644</v>
      </c>
      <c r="FA22" s="18">
        <f t="shared" ref="FA22" si="374">EO$5</f>
        <v>2035</v>
      </c>
    </row>
    <row r="23" spans="3:157" x14ac:dyDescent="0.25">
      <c r="C23" s="16" t="s">
        <v>9</v>
      </c>
      <c r="E23" s="104">
        <v>1200</v>
      </c>
      <c r="F23" s="104">
        <v>1200</v>
      </c>
      <c r="G23" s="104">
        <v>1200</v>
      </c>
      <c r="H23" s="104">
        <v>1200</v>
      </c>
      <c r="I23" s="104">
        <v>1200</v>
      </c>
      <c r="J23" s="104">
        <v>1200</v>
      </c>
      <c r="K23" s="104">
        <v>1200</v>
      </c>
      <c r="L23" s="104">
        <v>1200</v>
      </c>
      <c r="M23" s="104">
        <v>1200</v>
      </c>
      <c r="N23" s="104">
        <v>1200</v>
      </c>
      <c r="O23" s="104">
        <v>1200</v>
      </c>
      <c r="P23" s="104">
        <v>1200</v>
      </c>
      <c r="Q23" s="105">
        <f>SUM(E23:P23)</f>
        <v>14400</v>
      </c>
      <c r="S23" s="104"/>
      <c r="T23" s="104"/>
      <c r="U23" s="104"/>
      <c r="V23" s="104"/>
      <c r="W23" s="104"/>
      <c r="X23" s="104"/>
      <c r="Y23" s="104"/>
      <c r="Z23" s="104"/>
      <c r="AA23" s="104"/>
      <c r="AB23" s="104"/>
      <c r="AC23" s="104"/>
      <c r="AD23" s="104"/>
      <c r="AE23" s="105">
        <f>SUM(S23:AD23)</f>
        <v>0</v>
      </c>
      <c r="AG23" s="104"/>
      <c r="AH23" s="104"/>
      <c r="AI23" s="104"/>
      <c r="AJ23" s="104"/>
      <c r="AK23" s="104"/>
      <c r="AL23" s="104"/>
      <c r="AM23" s="104"/>
      <c r="AN23" s="104"/>
      <c r="AO23" s="104"/>
      <c r="AP23" s="104"/>
      <c r="AQ23" s="104"/>
      <c r="AR23" s="104"/>
      <c r="AS23" s="105">
        <f t="shared" ref="AS23:AS35" si="375">SUM(AG23:AR23)</f>
        <v>0</v>
      </c>
      <c r="AU23" s="104"/>
      <c r="AV23" s="104"/>
      <c r="AW23" s="104"/>
      <c r="AX23" s="104"/>
      <c r="AY23" s="104"/>
      <c r="AZ23" s="104"/>
      <c r="BA23" s="104"/>
      <c r="BB23" s="104"/>
      <c r="BC23" s="104"/>
      <c r="BD23" s="104"/>
      <c r="BE23" s="104"/>
      <c r="BF23" s="104"/>
      <c r="BG23" s="105">
        <f t="shared" ref="BG23:BG35" si="376">SUM(AU23:BF23)</f>
        <v>0</v>
      </c>
      <c r="BI23" s="104"/>
      <c r="BJ23" s="104"/>
      <c r="BK23" s="104"/>
      <c r="BL23" s="104"/>
      <c r="BM23" s="104"/>
      <c r="BN23" s="104"/>
      <c r="BO23" s="104"/>
      <c r="BP23" s="104"/>
      <c r="BQ23" s="104"/>
      <c r="BR23" s="104"/>
      <c r="BS23" s="104"/>
      <c r="BT23" s="104"/>
      <c r="BU23" s="105">
        <f t="shared" ref="BU23:BU35" si="377">SUM(BI23:BT23)</f>
        <v>0</v>
      </c>
      <c r="BW23" s="104"/>
      <c r="BX23" s="104"/>
      <c r="BY23" s="104"/>
      <c r="BZ23" s="104"/>
      <c r="CA23" s="104"/>
      <c r="CB23" s="104"/>
      <c r="CC23" s="104"/>
      <c r="CD23" s="104"/>
      <c r="CE23" s="104"/>
      <c r="CF23" s="104"/>
      <c r="CG23" s="104"/>
      <c r="CH23" s="104"/>
      <c r="CI23" s="105">
        <f t="shared" ref="CI23:CI35" si="378">SUM(BW23:CH23)</f>
        <v>0</v>
      </c>
      <c r="CK23" s="104"/>
      <c r="CL23" s="104"/>
      <c r="CM23" s="104"/>
      <c r="CN23" s="104"/>
      <c r="CO23" s="104"/>
      <c r="CP23" s="104"/>
      <c r="CQ23" s="104"/>
      <c r="CR23" s="104"/>
      <c r="CS23" s="104"/>
      <c r="CT23" s="104"/>
      <c r="CU23" s="104"/>
      <c r="CV23" s="104"/>
      <c r="CW23" s="105">
        <f t="shared" ref="CW23:CW35" si="379">SUM(CK23:CV23)</f>
        <v>0</v>
      </c>
      <c r="CY23" s="104"/>
      <c r="CZ23" s="104"/>
      <c r="DA23" s="104"/>
      <c r="DB23" s="104"/>
      <c r="DC23" s="104"/>
      <c r="DD23" s="104"/>
      <c r="DE23" s="104"/>
      <c r="DF23" s="104"/>
      <c r="DG23" s="104"/>
      <c r="DH23" s="104"/>
      <c r="DI23" s="104"/>
      <c r="DJ23" s="104"/>
      <c r="DK23" s="105">
        <f t="shared" ref="DK23:DK35" si="380">SUM(CY23:DJ23)</f>
        <v>0</v>
      </c>
      <c r="DM23" s="104"/>
      <c r="DN23" s="104"/>
      <c r="DO23" s="104"/>
      <c r="DP23" s="104"/>
      <c r="DQ23" s="104"/>
      <c r="DR23" s="104"/>
      <c r="DS23" s="104"/>
      <c r="DT23" s="104"/>
      <c r="DU23" s="104"/>
      <c r="DV23" s="104"/>
      <c r="DW23" s="104"/>
      <c r="DX23" s="104"/>
      <c r="DY23" s="105">
        <f t="shared" ref="DY23:DY35" si="381">SUM(DM23:DX23)</f>
        <v>0</v>
      </c>
      <c r="EA23" s="104"/>
      <c r="EB23" s="104"/>
      <c r="EC23" s="104"/>
      <c r="ED23" s="104"/>
      <c r="EE23" s="104"/>
      <c r="EF23" s="104"/>
      <c r="EG23" s="104"/>
      <c r="EH23" s="104"/>
      <c r="EI23" s="104"/>
      <c r="EJ23" s="104"/>
      <c r="EK23" s="104"/>
      <c r="EL23" s="104"/>
      <c r="EM23" s="105">
        <f t="shared" ref="EM23:EM35" si="382">SUM(EA23:EL23)</f>
        <v>0</v>
      </c>
      <c r="EO23" s="104"/>
      <c r="EP23" s="104"/>
      <c r="EQ23" s="104"/>
      <c r="ER23" s="104"/>
      <c r="ES23" s="104"/>
      <c r="ET23" s="104"/>
      <c r="EU23" s="104"/>
      <c r="EV23" s="104"/>
      <c r="EW23" s="104"/>
      <c r="EX23" s="104"/>
      <c r="EY23" s="104"/>
      <c r="EZ23" s="104"/>
      <c r="FA23" s="105">
        <f t="shared" ref="FA23:FA35" si="383">SUM(EO23:EZ23)</f>
        <v>0</v>
      </c>
    </row>
    <row r="24" spans="3:157" x14ac:dyDescent="0.25">
      <c r="C24" s="16" t="s">
        <v>10</v>
      </c>
      <c r="E24" s="104">
        <v>300</v>
      </c>
      <c r="F24" s="104">
        <v>300</v>
      </c>
      <c r="G24" s="104">
        <v>300</v>
      </c>
      <c r="H24" s="104">
        <v>300</v>
      </c>
      <c r="I24" s="104">
        <v>300</v>
      </c>
      <c r="J24" s="104">
        <v>300</v>
      </c>
      <c r="K24" s="104">
        <v>300</v>
      </c>
      <c r="L24" s="104">
        <v>300</v>
      </c>
      <c r="M24" s="104">
        <v>300</v>
      </c>
      <c r="N24" s="104">
        <v>300</v>
      </c>
      <c r="O24" s="104">
        <v>300</v>
      </c>
      <c r="P24" s="104">
        <v>300</v>
      </c>
      <c r="Q24" s="105">
        <f t="shared" ref="Q24:Q35" si="384">SUM(E24:P24)</f>
        <v>3600</v>
      </c>
      <c r="S24" s="104"/>
      <c r="T24" s="104"/>
      <c r="U24" s="104"/>
      <c r="V24" s="104"/>
      <c r="W24" s="104"/>
      <c r="X24" s="104"/>
      <c r="Y24" s="104"/>
      <c r="Z24" s="104"/>
      <c r="AA24" s="104"/>
      <c r="AB24" s="104"/>
      <c r="AC24" s="104"/>
      <c r="AD24" s="104"/>
      <c r="AE24" s="105">
        <f t="shared" ref="AE24:AE35" si="385">SUM(S24:AD24)</f>
        <v>0</v>
      </c>
      <c r="AG24" s="104"/>
      <c r="AH24" s="104"/>
      <c r="AI24" s="104"/>
      <c r="AJ24" s="104"/>
      <c r="AK24" s="104"/>
      <c r="AL24" s="104"/>
      <c r="AM24" s="104"/>
      <c r="AN24" s="104"/>
      <c r="AO24" s="104"/>
      <c r="AP24" s="104"/>
      <c r="AQ24" s="104"/>
      <c r="AR24" s="104"/>
      <c r="AS24" s="105">
        <f t="shared" si="375"/>
        <v>0</v>
      </c>
      <c r="AU24" s="104"/>
      <c r="AV24" s="104"/>
      <c r="AW24" s="104"/>
      <c r="AX24" s="104"/>
      <c r="AY24" s="104"/>
      <c r="AZ24" s="104"/>
      <c r="BA24" s="104"/>
      <c r="BB24" s="104"/>
      <c r="BC24" s="104"/>
      <c r="BD24" s="104"/>
      <c r="BE24" s="104"/>
      <c r="BF24" s="104"/>
      <c r="BG24" s="105">
        <f t="shared" si="376"/>
        <v>0</v>
      </c>
      <c r="BI24" s="104"/>
      <c r="BJ24" s="104"/>
      <c r="BK24" s="104"/>
      <c r="BL24" s="104"/>
      <c r="BM24" s="104"/>
      <c r="BN24" s="104"/>
      <c r="BO24" s="104"/>
      <c r="BP24" s="104"/>
      <c r="BQ24" s="104"/>
      <c r="BR24" s="104"/>
      <c r="BS24" s="104"/>
      <c r="BT24" s="104"/>
      <c r="BU24" s="105">
        <f t="shared" si="377"/>
        <v>0</v>
      </c>
      <c r="BW24" s="104"/>
      <c r="BX24" s="104"/>
      <c r="BY24" s="104"/>
      <c r="BZ24" s="104"/>
      <c r="CA24" s="104"/>
      <c r="CB24" s="104"/>
      <c r="CC24" s="104"/>
      <c r="CD24" s="104"/>
      <c r="CE24" s="104"/>
      <c r="CF24" s="104"/>
      <c r="CG24" s="104"/>
      <c r="CH24" s="104"/>
      <c r="CI24" s="105">
        <f t="shared" si="378"/>
        <v>0</v>
      </c>
      <c r="CK24" s="104"/>
      <c r="CL24" s="104"/>
      <c r="CM24" s="104"/>
      <c r="CN24" s="104"/>
      <c r="CO24" s="104"/>
      <c r="CP24" s="104"/>
      <c r="CQ24" s="104"/>
      <c r="CR24" s="104"/>
      <c r="CS24" s="104"/>
      <c r="CT24" s="104"/>
      <c r="CU24" s="104"/>
      <c r="CV24" s="104"/>
      <c r="CW24" s="105">
        <f t="shared" si="379"/>
        <v>0</v>
      </c>
      <c r="CY24" s="104"/>
      <c r="CZ24" s="104"/>
      <c r="DA24" s="104"/>
      <c r="DB24" s="104"/>
      <c r="DC24" s="104"/>
      <c r="DD24" s="104"/>
      <c r="DE24" s="104"/>
      <c r="DF24" s="104"/>
      <c r="DG24" s="104"/>
      <c r="DH24" s="104"/>
      <c r="DI24" s="104"/>
      <c r="DJ24" s="104"/>
      <c r="DK24" s="105">
        <f t="shared" si="380"/>
        <v>0</v>
      </c>
      <c r="DM24" s="104"/>
      <c r="DN24" s="104"/>
      <c r="DO24" s="104"/>
      <c r="DP24" s="104"/>
      <c r="DQ24" s="104"/>
      <c r="DR24" s="104"/>
      <c r="DS24" s="104"/>
      <c r="DT24" s="104"/>
      <c r="DU24" s="104"/>
      <c r="DV24" s="104"/>
      <c r="DW24" s="104"/>
      <c r="DX24" s="104"/>
      <c r="DY24" s="105">
        <f t="shared" si="381"/>
        <v>0</v>
      </c>
      <c r="EA24" s="104"/>
      <c r="EB24" s="104"/>
      <c r="EC24" s="104"/>
      <c r="ED24" s="104"/>
      <c r="EE24" s="104"/>
      <c r="EF24" s="104"/>
      <c r="EG24" s="104"/>
      <c r="EH24" s="104"/>
      <c r="EI24" s="104"/>
      <c r="EJ24" s="104"/>
      <c r="EK24" s="104"/>
      <c r="EL24" s="104"/>
      <c r="EM24" s="105">
        <f t="shared" si="382"/>
        <v>0</v>
      </c>
      <c r="EO24" s="104"/>
      <c r="EP24" s="104"/>
      <c r="EQ24" s="104"/>
      <c r="ER24" s="104"/>
      <c r="ES24" s="104"/>
      <c r="ET24" s="104"/>
      <c r="EU24" s="104"/>
      <c r="EV24" s="104"/>
      <c r="EW24" s="104"/>
      <c r="EX24" s="104"/>
      <c r="EY24" s="104"/>
      <c r="EZ24" s="104"/>
      <c r="FA24" s="105">
        <f t="shared" si="383"/>
        <v>0</v>
      </c>
    </row>
    <row r="25" spans="3:157" x14ac:dyDescent="0.25">
      <c r="C25" s="16" t="s">
        <v>11</v>
      </c>
      <c r="E25" s="104">
        <v>350</v>
      </c>
      <c r="F25" s="104">
        <v>350</v>
      </c>
      <c r="G25" s="104">
        <v>350</v>
      </c>
      <c r="H25" s="104">
        <v>350</v>
      </c>
      <c r="I25" s="104">
        <v>350</v>
      </c>
      <c r="J25" s="104">
        <v>350</v>
      </c>
      <c r="K25" s="104">
        <v>350</v>
      </c>
      <c r="L25" s="104">
        <v>350</v>
      </c>
      <c r="M25" s="104">
        <v>350</v>
      </c>
      <c r="N25" s="104">
        <v>350</v>
      </c>
      <c r="O25" s="104">
        <v>350</v>
      </c>
      <c r="P25" s="104">
        <v>350</v>
      </c>
      <c r="Q25" s="105">
        <f t="shared" si="384"/>
        <v>4200</v>
      </c>
      <c r="S25" s="104"/>
      <c r="T25" s="104"/>
      <c r="U25" s="104"/>
      <c r="V25" s="104"/>
      <c r="W25" s="104"/>
      <c r="X25" s="104"/>
      <c r="Y25" s="104"/>
      <c r="Z25" s="104"/>
      <c r="AA25" s="104"/>
      <c r="AB25" s="104"/>
      <c r="AC25" s="104"/>
      <c r="AD25" s="104"/>
      <c r="AE25" s="105">
        <f t="shared" si="385"/>
        <v>0</v>
      </c>
      <c r="AG25" s="104"/>
      <c r="AH25" s="104"/>
      <c r="AI25" s="104"/>
      <c r="AJ25" s="104"/>
      <c r="AK25" s="104"/>
      <c r="AL25" s="104"/>
      <c r="AM25" s="104"/>
      <c r="AN25" s="104"/>
      <c r="AO25" s="104"/>
      <c r="AP25" s="104"/>
      <c r="AQ25" s="104"/>
      <c r="AR25" s="104"/>
      <c r="AS25" s="105">
        <f t="shared" si="375"/>
        <v>0</v>
      </c>
      <c r="AU25" s="104"/>
      <c r="AV25" s="104"/>
      <c r="AW25" s="104"/>
      <c r="AX25" s="104"/>
      <c r="AY25" s="104"/>
      <c r="AZ25" s="104"/>
      <c r="BA25" s="104"/>
      <c r="BB25" s="104"/>
      <c r="BC25" s="104"/>
      <c r="BD25" s="104"/>
      <c r="BE25" s="104"/>
      <c r="BF25" s="104"/>
      <c r="BG25" s="105">
        <f t="shared" si="376"/>
        <v>0</v>
      </c>
      <c r="BI25" s="104"/>
      <c r="BJ25" s="104"/>
      <c r="BK25" s="104"/>
      <c r="BL25" s="104"/>
      <c r="BM25" s="104"/>
      <c r="BN25" s="104"/>
      <c r="BO25" s="104"/>
      <c r="BP25" s="104"/>
      <c r="BQ25" s="104"/>
      <c r="BR25" s="104"/>
      <c r="BS25" s="104"/>
      <c r="BT25" s="104"/>
      <c r="BU25" s="105">
        <f t="shared" si="377"/>
        <v>0</v>
      </c>
      <c r="BW25" s="104"/>
      <c r="BX25" s="104"/>
      <c r="BY25" s="104"/>
      <c r="BZ25" s="104"/>
      <c r="CA25" s="104"/>
      <c r="CB25" s="104"/>
      <c r="CC25" s="104"/>
      <c r="CD25" s="104"/>
      <c r="CE25" s="104"/>
      <c r="CF25" s="104"/>
      <c r="CG25" s="104"/>
      <c r="CH25" s="104"/>
      <c r="CI25" s="105">
        <f t="shared" si="378"/>
        <v>0</v>
      </c>
      <c r="CK25" s="104"/>
      <c r="CL25" s="104"/>
      <c r="CM25" s="104"/>
      <c r="CN25" s="104"/>
      <c r="CO25" s="104"/>
      <c r="CP25" s="104"/>
      <c r="CQ25" s="104"/>
      <c r="CR25" s="104"/>
      <c r="CS25" s="104"/>
      <c r="CT25" s="104"/>
      <c r="CU25" s="104"/>
      <c r="CV25" s="104"/>
      <c r="CW25" s="105">
        <f t="shared" si="379"/>
        <v>0</v>
      </c>
      <c r="CY25" s="104"/>
      <c r="CZ25" s="104"/>
      <c r="DA25" s="104"/>
      <c r="DB25" s="104"/>
      <c r="DC25" s="104"/>
      <c r="DD25" s="104"/>
      <c r="DE25" s="104"/>
      <c r="DF25" s="104"/>
      <c r="DG25" s="104"/>
      <c r="DH25" s="104"/>
      <c r="DI25" s="104"/>
      <c r="DJ25" s="104"/>
      <c r="DK25" s="105">
        <f t="shared" si="380"/>
        <v>0</v>
      </c>
      <c r="DM25" s="104"/>
      <c r="DN25" s="104"/>
      <c r="DO25" s="104"/>
      <c r="DP25" s="104"/>
      <c r="DQ25" s="104"/>
      <c r="DR25" s="104"/>
      <c r="DS25" s="104"/>
      <c r="DT25" s="104"/>
      <c r="DU25" s="104"/>
      <c r="DV25" s="104"/>
      <c r="DW25" s="104"/>
      <c r="DX25" s="104"/>
      <c r="DY25" s="105">
        <f t="shared" si="381"/>
        <v>0</v>
      </c>
      <c r="EA25" s="104"/>
      <c r="EB25" s="104"/>
      <c r="EC25" s="104"/>
      <c r="ED25" s="104"/>
      <c r="EE25" s="104"/>
      <c r="EF25" s="104"/>
      <c r="EG25" s="104"/>
      <c r="EH25" s="104"/>
      <c r="EI25" s="104"/>
      <c r="EJ25" s="104"/>
      <c r="EK25" s="104"/>
      <c r="EL25" s="104"/>
      <c r="EM25" s="105">
        <f t="shared" si="382"/>
        <v>0</v>
      </c>
      <c r="EO25" s="104"/>
      <c r="EP25" s="104"/>
      <c r="EQ25" s="104"/>
      <c r="ER25" s="104"/>
      <c r="ES25" s="104"/>
      <c r="ET25" s="104"/>
      <c r="EU25" s="104"/>
      <c r="EV25" s="104"/>
      <c r="EW25" s="104"/>
      <c r="EX25" s="104"/>
      <c r="EY25" s="104"/>
      <c r="EZ25" s="104"/>
      <c r="FA25" s="105">
        <f t="shared" si="383"/>
        <v>0</v>
      </c>
    </row>
    <row r="26" spans="3:157" x14ac:dyDescent="0.25">
      <c r="C26" s="16" t="s">
        <v>19</v>
      </c>
      <c r="E26" s="104">
        <v>300</v>
      </c>
      <c r="F26" s="104">
        <v>300</v>
      </c>
      <c r="G26" s="104">
        <v>300</v>
      </c>
      <c r="H26" s="104">
        <v>300</v>
      </c>
      <c r="I26" s="104">
        <v>300</v>
      </c>
      <c r="J26" s="104">
        <v>300</v>
      </c>
      <c r="K26" s="104">
        <v>300</v>
      </c>
      <c r="L26" s="104">
        <v>300</v>
      </c>
      <c r="M26" s="104">
        <v>300</v>
      </c>
      <c r="N26" s="104">
        <v>300</v>
      </c>
      <c r="O26" s="104">
        <v>300</v>
      </c>
      <c r="P26" s="104">
        <v>300</v>
      </c>
      <c r="Q26" s="105">
        <f t="shared" si="384"/>
        <v>3600</v>
      </c>
      <c r="S26" s="104"/>
      <c r="T26" s="104"/>
      <c r="U26" s="104"/>
      <c r="V26" s="104"/>
      <c r="W26" s="104"/>
      <c r="X26" s="104"/>
      <c r="Y26" s="104"/>
      <c r="Z26" s="104"/>
      <c r="AA26" s="104"/>
      <c r="AB26" s="104"/>
      <c r="AC26" s="104"/>
      <c r="AD26" s="104"/>
      <c r="AE26" s="105">
        <f t="shared" si="385"/>
        <v>0</v>
      </c>
      <c r="AG26" s="104"/>
      <c r="AH26" s="104"/>
      <c r="AI26" s="104"/>
      <c r="AJ26" s="104"/>
      <c r="AK26" s="104"/>
      <c r="AL26" s="104"/>
      <c r="AM26" s="104"/>
      <c r="AN26" s="104"/>
      <c r="AO26" s="104"/>
      <c r="AP26" s="104"/>
      <c r="AQ26" s="104"/>
      <c r="AR26" s="104"/>
      <c r="AS26" s="105">
        <f t="shared" si="375"/>
        <v>0</v>
      </c>
      <c r="AU26" s="104"/>
      <c r="AV26" s="104"/>
      <c r="AW26" s="104"/>
      <c r="AX26" s="104"/>
      <c r="AY26" s="104"/>
      <c r="AZ26" s="104"/>
      <c r="BA26" s="104"/>
      <c r="BB26" s="104"/>
      <c r="BC26" s="104"/>
      <c r="BD26" s="104"/>
      <c r="BE26" s="104"/>
      <c r="BF26" s="104"/>
      <c r="BG26" s="105">
        <f t="shared" si="376"/>
        <v>0</v>
      </c>
      <c r="BI26" s="104"/>
      <c r="BJ26" s="104"/>
      <c r="BK26" s="104"/>
      <c r="BL26" s="104"/>
      <c r="BM26" s="104"/>
      <c r="BN26" s="104"/>
      <c r="BO26" s="104"/>
      <c r="BP26" s="104"/>
      <c r="BQ26" s="104"/>
      <c r="BR26" s="104"/>
      <c r="BS26" s="104"/>
      <c r="BT26" s="104"/>
      <c r="BU26" s="105">
        <f t="shared" si="377"/>
        <v>0</v>
      </c>
      <c r="BW26" s="104"/>
      <c r="BX26" s="104"/>
      <c r="BY26" s="104"/>
      <c r="BZ26" s="104"/>
      <c r="CA26" s="104"/>
      <c r="CB26" s="104"/>
      <c r="CC26" s="104"/>
      <c r="CD26" s="104"/>
      <c r="CE26" s="104"/>
      <c r="CF26" s="104"/>
      <c r="CG26" s="104"/>
      <c r="CH26" s="104"/>
      <c r="CI26" s="105">
        <f t="shared" si="378"/>
        <v>0</v>
      </c>
      <c r="CK26" s="104"/>
      <c r="CL26" s="104"/>
      <c r="CM26" s="104"/>
      <c r="CN26" s="104"/>
      <c r="CO26" s="104"/>
      <c r="CP26" s="104"/>
      <c r="CQ26" s="104"/>
      <c r="CR26" s="104"/>
      <c r="CS26" s="104"/>
      <c r="CT26" s="104"/>
      <c r="CU26" s="104"/>
      <c r="CV26" s="104"/>
      <c r="CW26" s="105">
        <f t="shared" si="379"/>
        <v>0</v>
      </c>
      <c r="CY26" s="104"/>
      <c r="CZ26" s="104"/>
      <c r="DA26" s="104"/>
      <c r="DB26" s="104"/>
      <c r="DC26" s="104"/>
      <c r="DD26" s="104"/>
      <c r="DE26" s="104"/>
      <c r="DF26" s="104"/>
      <c r="DG26" s="104"/>
      <c r="DH26" s="104"/>
      <c r="DI26" s="104"/>
      <c r="DJ26" s="104"/>
      <c r="DK26" s="105">
        <f t="shared" si="380"/>
        <v>0</v>
      </c>
      <c r="DM26" s="104"/>
      <c r="DN26" s="104"/>
      <c r="DO26" s="104"/>
      <c r="DP26" s="104"/>
      <c r="DQ26" s="104"/>
      <c r="DR26" s="104"/>
      <c r="DS26" s="104"/>
      <c r="DT26" s="104"/>
      <c r="DU26" s="104"/>
      <c r="DV26" s="104"/>
      <c r="DW26" s="104"/>
      <c r="DX26" s="104"/>
      <c r="DY26" s="105">
        <f t="shared" si="381"/>
        <v>0</v>
      </c>
      <c r="EA26" s="104"/>
      <c r="EB26" s="104"/>
      <c r="EC26" s="104"/>
      <c r="ED26" s="104"/>
      <c r="EE26" s="104"/>
      <c r="EF26" s="104"/>
      <c r="EG26" s="104"/>
      <c r="EH26" s="104"/>
      <c r="EI26" s="104"/>
      <c r="EJ26" s="104"/>
      <c r="EK26" s="104"/>
      <c r="EL26" s="104"/>
      <c r="EM26" s="105">
        <f t="shared" si="382"/>
        <v>0</v>
      </c>
      <c r="EO26" s="104"/>
      <c r="EP26" s="104"/>
      <c r="EQ26" s="104"/>
      <c r="ER26" s="104"/>
      <c r="ES26" s="104"/>
      <c r="ET26" s="104"/>
      <c r="EU26" s="104"/>
      <c r="EV26" s="104"/>
      <c r="EW26" s="104"/>
      <c r="EX26" s="104"/>
      <c r="EY26" s="104"/>
      <c r="EZ26" s="104"/>
      <c r="FA26" s="105">
        <f t="shared" si="383"/>
        <v>0</v>
      </c>
    </row>
    <row r="27" spans="3:157" x14ac:dyDescent="0.25">
      <c r="C27" s="16" t="s">
        <v>20</v>
      </c>
      <c r="E27" s="104"/>
      <c r="F27" s="104"/>
      <c r="G27" s="104">
        <v>150</v>
      </c>
      <c r="H27" s="104"/>
      <c r="I27" s="104"/>
      <c r="J27" s="104">
        <v>150</v>
      </c>
      <c r="K27" s="104"/>
      <c r="L27" s="104"/>
      <c r="M27" s="104">
        <v>150</v>
      </c>
      <c r="N27" s="104"/>
      <c r="O27" s="104"/>
      <c r="P27" s="104">
        <v>150</v>
      </c>
      <c r="Q27" s="105">
        <f t="shared" si="384"/>
        <v>600</v>
      </c>
      <c r="S27" s="104"/>
      <c r="T27" s="104"/>
      <c r="U27" s="104"/>
      <c r="V27" s="104"/>
      <c r="W27" s="104"/>
      <c r="X27" s="104"/>
      <c r="Y27" s="104"/>
      <c r="Z27" s="104"/>
      <c r="AA27" s="104"/>
      <c r="AB27" s="104"/>
      <c r="AC27" s="104"/>
      <c r="AD27" s="104"/>
      <c r="AE27" s="105">
        <f t="shared" si="385"/>
        <v>0</v>
      </c>
      <c r="AG27" s="104"/>
      <c r="AH27" s="104"/>
      <c r="AI27" s="104"/>
      <c r="AJ27" s="104"/>
      <c r="AK27" s="104"/>
      <c r="AL27" s="104"/>
      <c r="AM27" s="104"/>
      <c r="AN27" s="104"/>
      <c r="AO27" s="104"/>
      <c r="AP27" s="104"/>
      <c r="AQ27" s="104"/>
      <c r="AR27" s="104"/>
      <c r="AS27" s="105">
        <f t="shared" si="375"/>
        <v>0</v>
      </c>
      <c r="AU27" s="104"/>
      <c r="AV27" s="104"/>
      <c r="AW27" s="104"/>
      <c r="AX27" s="104"/>
      <c r="AY27" s="104"/>
      <c r="AZ27" s="104"/>
      <c r="BA27" s="104"/>
      <c r="BB27" s="104"/>
      <c r="BC27" s="104"/>
      <c r="BD27" s="104"/>
      <c r="BE27" s="104"/>
      <c r="BF27" s="104"/>
      <c r="BG27" s="105">
        <f t="shared" si="376"/>
        <v>0</v>
      </c>
      <c r="BI27" s="104"/>
      <c r="BJ27" s="104"/>
      <c r="BK27" s="104"/>
      <c r="BL27" s="104"/>
      <c r="BM27" s="104"/>
      <c r="BN27" s="104"/>
      <c r="BO27" s="104"/>
      <c r="BP27" s="104"/>
      <c r="BQ27" s="104"/>
      <c r="BR27" s="104"/>
      <c r="BS27" s="104"/>
      <c r="BT27" s="104"/>
      <c r="BU27" s="105">
        <f t="shared" si="377"/>
        <v>0</v>
      </c>
      <c r="BW27" s="104"/>
      <c r="BX27" s="104"/>
      <c r="BY27" s="104"/>
      <c r="BZ27" s="104"/>
      <c r="CA27" s="104"/>
      <c r="CB27" s="104"/>
      <c r="CC27" s="104"/>
      <c r="CD27" s="104"/>
      <c r="CE27" s="104"/>
      <c r="CF27" s="104"/>
      <c r="CG27" s="104"/>
      <c r="CH27" s="104"/>
      <c r="CI27" s="105">
        <f t="shared" si="378"/>
        <v>0</v>
      </c>
      <c r="CK27" s="104"/>
      <c r="CL27" s="104"/>
      <c r="CM27" s="104"/>
      <c r="CN27" s="104"/>
      <c r="CO27" s="104"/>
      <c r="CP27" s="104"/>
      <c r="CQ27" s="104"/>
      <c r="CR27" s="104"/>
      <c r="CS27" s="104"/>
      <c r="CT27" s="104"/>
      <c r="CU27" s="104"/>
      <c r="CV27" s="104"/>
      <c r="CW27" s="105">
        <f t="shared" si="379"/>
        <v>0</v>
      </c>
      <c r="CY27" s="104"/>
      <c r="CZ27" s="104"/>
      <c r="DA27" s="104"/>
      <c r="DB27" s="104"/>
      <c r="DC27" s="104"/>
      <c r="DD27" s="104"/>
      <c r="DE27" s="104"/>
      <c r="DF27" s="104"/>
      <c r="DG27" s="104"/>
      <c r="DH27" s="104"/>
      <c r="DI27" s="104"/>
      <c r="DJ27" s="104"/>
      <c r="DK27" s="105">
        <f t="shared" si="380"/>
        <v>0</v>
      </c>
      <c r="DM27" s="104"/>
      <c r="DN27" s="104"/>
      <c r="DO27" s="104"/>
      <c r="DP27" s="104"/>
      <c r="DQ27" s="104"/>
      <c r="DR27" s="104"/>
      <c r="DS27" s="104"/>
      <c r="DT27" s="104"/>
      <c r="DU27" s="104"/>
      <c r="DV27" s="104"/>
      <c r="DW27" s="104"/>
      <c r="DX27" s="104"/>
      <c r="DY27" s="105">
        <f t="shared" si="381"/>
        <v>0</v>
      </c>
      <c r="EA27" s="104"/>
      <c r="EB27" s="104"/>
      <c r="EC27" s="104"/>
      <c r="ED27" s="104"/>
      <c r="EE27" s="104"/>
      <c r="EF27" s="104"/>
      <c r="EG27" s="104"/>
      <c r="EH27" s="104"/>
      <c r="EI27" s="104"/>
      <c r="EJ27" s="104"/>
      <c r="EK27" s="104"/>
      <c r="EL27" s="104"/>
      <c r="EM27" s="105">
        <f t="shared" si="382"/>
        <v>0</v>
      </c>
      <c r="EO27" s="104"/>
      <c r="EP27" s="104"/>
      <c r="EQ27" s="104"/>
      <c r="ER27" s="104"/>
      <c r="ES27" s="104"/>
      <c r="ET27" s="104"/>
      <c r="EU27" s="104"/>
      <c r="EV27" s="104"/>
      <c r="EW27" s="104"/>
      <c r="EX27" s="104"/>
      <c r="EY27" s="104"/>
      <c r="EZ27" s="104"/>
      <c r="FA27" s="105">
        <f t="shared" si="383"/>
        <v>0</v>
      </c>
    </row>
    <row r="28" spans="3:157" x14ac:dyDescent="0.25">
      <c r="C28" s="16" t="s">
        <v>21</v>
      </c>
      <c r="E28" s="104">
        <v>200</v>
      </c>
      <c r="F28" s="104">
        <v>200</v>
      </c>
      <c r="G28" s="104">
        <v>200</v>
      </c>
      <c r="H28" s="104">
        <v>200</v>
      </c>
      <c r="I28" s="104">
        <v>200</v>
      </c>
      <c r="J28" s="104">
        <v>200</v>
      </c>
      <c r="K28" s="104">
        <v>200</v>
      </c>
      <c r="L28" s="104">
        <v>200</v>
      </c>
      <c r="M28" s="104">
        <v>200</v>
      </c>
      <c r="N28" s="104">
        <v>200</v>
      </c>
      <c r="O28" s="104">
        <v>200</v>
      </c>
      <c r="P28" s="104">
        <v>200</v>
      </c>
      <c r="Q28" s="105">
        <f t="shared" si="384"/>
        <v>2400</v>
      </c>
      <c r="S28" s="104"/>
      <c r="T28" s="104"/>
      <c r="U28" s="104"/>
      <c r="V28" s="104"/>
      <c r="W28" s="104"/>
      <c r="X28" s="104"/>
      <c r="Y28" s="104"/>
      <c r="Z28" s="104"/>
      <c r="AA28" s="104"/>
      <c r="AB28" s="104"/>
      <c r="AC28" s="104"/>
      <c r="AD28" s="104"/>
      <c r="AE28" s="105"/>
      <c r="AG28" s="104"/>
      <c r="AH28" s="104"/>
      <c r="AI28" s="104"/>
      <c r="AJ28" s="104"/>
      <c r="AK28" s="104"/>
      <c r="AL28" s="104"/>
      <c r="AM28" s="104"/>
      <c r="AN28" s="104"/>
      <c r="AO28" s="104"/>
      <c r="AP28" s="104"/>
      <c r="AQ28" s="104"/>
      <c r="AR28" s="104"/>
      <c r="AS28" s="105"/>
      <c r="AU28" s="104"/>
      <c r="AV28" s="104"/>
      <c r="AW28" s="104"/>
      <c r="AX28" s="104"/>
      <c r="AY28" s="104"/>
      <c r="AZ28" s="104"/>
      <c r="BA28" s="104"/>
      <c r="BB28" s="104"/>
      <c r="BC28" s="104"/>
      <c r="BD28" s="104"/>
      <c r="BE28" s="104"/>
      <c r="BF28" s="104"/>
      <c r="BG28" s="105"/>
      <c r="BI28" s="104"/>
      <c r="BJ28" s="104"/>
      <c r="BK28" s="104"/>
      <c r="BL28" s="104"/>
      <c r="BM28" s="104"/>
      <c r="BN28" s="104"/>
      <c r="BO28" s="104"/>
      <c r="BP28" s="104"/>
      <c r="BQ28" s="104"/>
      <c r="BR28" s="104"/>
      <c r="BS28" s="104"/>
      <c r="BT28" s="104"/>
      <c r="BU28" s="105"/>
      <c r="BW28" s="104"/>
      <c r="BX28" s="104"/>
      <c r="BY28" s="104"/>
      <c r="BZ28" s="104"/>
      <c r="CA28" s="104"/>
      <c r="CB28" s="104"/>
      <c r="CC28" s="104"/>
      <c r="CD28" s="104"/>
      <c r="CE28" s="104"/>
      <c r="CF28" s="104"/>
      <c r="CG28" s="104"/>
      <c r="CH28" s="104"/>
      <c r="CI28" s="105"/>
      <c r="CK28" s="104"/>
      <c r="CL28" s="104"/>
      <c r="CM28" s="104"/>
      <c r="CN28" s="104"/>
      <c r="CO28" s="104"/>
      <c r="CP28" s="104"/>
      <c r="CQ28" s="104"/>
      <c r="CR28" s="104"/>
      <c r="CS28" s="104"/>
      <c r="CT28" s="104"/>
      <c r="CU28" s="104"/>
      <c r="CV28" s="104"/>
      <c r="CW28" s="105"/>
      <c r="CY28" s="104"/>
      <c r="CZ28" s="104"/>
      <c r="DA28" s="104"/>
      <c r="DB28" s="104"/>
      <c r="DC28" s="104"/>
      <c r="DD28" s="104"/>
      <c r="DE28" s="104"/>
      <c r="DF28" s="104"/>
      <c r="DG28" s="104"/>
      <c r="DH28" s="104"/>
      <c r="DI28" s="104"/>
      <c r="DJ28" s="104"/>
      <c r="DK28" s="105"/>
      <c r="DM28" s="104"/>
      <c r="DN28" s="104"/>
      <c r="DO28" s="104"/>
      <c r="DP28" s="104"/>
      <c r="DQ28" s="104"/>
      <c r="DR28" s="104"/>
      <c r="DS28" s="104"/>
      <c r="DT28" s="104"/>
      <c r="DU28" s="104"/>
      <c r="DV28" s="104"/>
      <c r="DW28" s="104"/>
      <c r="DX28" s="104"/>
      <c r="DY28" s="105"/>
      <c r="EA28" s="104"/>
      <c r="EB28" s="104"/>
      <c r="EC28" s="104"/>
      <c r="ED28" s="104"/>
      <c r="EE28" s="104"/>
      <c r="EF28" s="104"/>
      <c r="EG28" s="104"/>
      <c r="EH28" s="104"/>
      <c r="EI28" s="104"/>
      <c r="EJ28" s="104"/>
      <c r="EK28" s="104"/>
      <c r="EL28" s="104"/>
      <c r="EM28" s="105"/>
      <c r="EO28" s="104"/>
      <c r="EP28" s="104"/>
      <c r="EQ28" s="104"/>
      <c r="ER28" s="104"/>
      <c r="ES28" s="104"/>
      <c r="ET28" s="104"/>
      <c r="EU28" s="104"/>
      <c r="EV28" s="104"/>
      <c r="EW28" s="104"/>
      <c r="EX28" s="104"/>
      <c r="EY28" s="104"/>
      <c r="EZ28" s="104"/>
      <c r="FA28" s="105"/>
    </row>
    <row r="29" spans="3:157" x14ac:dyDescent="0.25">
      <c r="C29" s="16" t="s">
        <v>22</v>
      </c>
      <c r="E29" s="104">
        <v>200</v>
      </c>
      <c r="F29" s="104">
        <v>200</v>
      </c>
      <c r="G29" s="104">
        <v>200</v>
      </c>
      <c r="H29" s="104">
        <v>200</v>
      </c>
      <c r="I29" s="104">
        <v>200</v>
      </c>
      <c r="J29" s="104">
        <v>200</v>
      </c>
      <c r="K29" s="104">
        <v>200</v>
      </c>
      <c r="L29" s="104">
        <v>200</v>
      </c>
      <c r="M29" s="104">
        <v>200</v>
      </c>
      <c r="N29" s="104">
        <v>200</v>
      </c>
      <c r="O29" s="104">
        <v>200</v>
      </c>
      <c r="P29" s="104">
        <v>200</v>
      </c>
      <c r="Q29" s="105">
        <f t="shared" si="384"/>
        <v>2400</v>
      </c>
      <c r="S29" s="104"/>
      <c r="T29" s="104"/>
      <c r="U29" s="104"/>
      <c r="V29" s="104"/>
      <c r="W29" s="104"/>
      <c r="X29" s="104"/>
      <c r="Y29" s="104"/>
      <c r="Z29" s="104"/>
      <c r="AA29" s="104"/>
      <c r="AB29" s="104"/>
      <c r="AC29" s="104"/>
      <c r="AD29" s="104"/>
      <c r="AE29" s="105">
        <f t="shared" si="385"/>
        <v>0</v>
      </c>
      <c r="AG29" s="104"/>
      <c r="AH29" s="104"/>
      <c r="AI29" s="104"/>
      <c r="AJ29" s="104"/>
      <c r="AK29" s="104"/>
      <c r="AL29" s="104"/>
      <c r="AM29" s="104"/>
      <c r="AN29" s="104"/>
      <c r="AO29" s="104"/>
      <c r="AP29" s="104"/>
      <c r="AQ29" s="104"/>
      <c r="AR29" s="104"/>
      <c r="AS29" s="105">
        <f t="shared" si="375"/>
        <v>0</v>
      </c>
      <c r="AU29" s="104"/>
      <c r="AV29" s="104"/>
      <c r="AW29" s="104"/>
      <c r="AX29" s="104"/>
      <c r="AY29" s="104"/>
      <c r="AZ29" s="104"/>
      <c r="BA29" s="104"/>
      <c r="BB29" s="104"/>
      <c r="BC29" s="104"/>
      <c r="BD29" s="104"/>
      <c r="BE29" s="104"/>
      <c r="BF29" s="104"/>
      <c r="BG29" s="105">
        <f t="shared" si="376"/>
        <v>0</v>
      </c>
      <c r="BI29" s="104"/>
      <c r="BJ29" s="104"/>
      <c r="BK29" s="104"/>
      <c r="BL29" s="104"/>
      <c r="BM29" s="104"/>
      <c r="BN29" s="104"/>
      <c r="BO29" s="104"/>
      <c r="BP29" s="104"/>
      <c r="BQ29" s="104"/>
      <c r="BR29" s="104"/>
      <c r="BS29" s="104"/>
      <c r="BT29" s="104"/>
      <c r="BU29" s="105">
        <f t="shared" si="377"/>
        <v>0</v>
      </c>
      <c r="BW29" s="104"/>
      <c r="BX29" s="104"/>
      <c r="BY29" s="104"/>
      <c r="BZ29" s="104"/>
      <c r="CA29" s="104"/>
      <c r="CB29" s="104"/>
      <c r="CC29" s="104"/>
      <c r="CD29" s="104"/>
      <c r="CE29" s="104"/>
      <c r="CF29" s="104"/>
      <c r="CG29" s="104"/>
      <c r="CH29" s="104"/>
      <c r="CI29" s="105">
        <f t="shared" si="378"/>
        <v>0</v>
      </c>
      <c r="CK29" s="104"/>
      <c r="CL29" s="104"/>
      <c r="CM29" s="104"/>
      <c r="CN29" s="104"/>
      <c r="CO29" s="104"/>
      <c r="CP29" s="104"/>
      <c r="CQ29" s="104"/>
      <c r="CR29" s="104"/>
      <c r="CS29" s="104"/>
      <c r="CT29" s="104"/>
      <c r="CU29" s="104"/>
      <c r="CV29" s="104"/>
      <c r="CW29" s="105">
        <f t="shared" si="379"/>
        <v>0</v>
      </c>
      <c r="CY29" s="104"/>
      <c r="CZ29" s="104"/>
      <c r="DA29" s="104"/>
      <c r="DB29" s="104"/>
      <c r="DC29" s="104"/>
      <c r="DD29" s="104"/>
      <c r="DE29" s="104"/>
      <c r="DF29" s="104"/>
      <c r="DG29" s="104"/>
      <c r="DH29" s="104"/>
      <c r="DI29" s="104"/>
      <c r="DJ29" s="104"/>
      <c r="DK29" s="105">
        <f t="shared" si="380"/>
        <v>0</v>
      </c>
      <c r="DM29" s="104"/>
      <c r="DN29" s="104"/>
      <c r="DO29" s="104"/>
      <c r="DP29" s="104"/>
      <c r="DQ29" s="104"/>
      <c r="DR29" s="104"/>
      <c r="DS29" s="104"/>
      <c r="DT29" s="104"/>
      <c r="DU29" s="104"/>
      <c r="DV29" s="104"/>
      <c r="DW29" s="104"/>
      <c r="DX29" s="104"/>
      <c r="DY29" s="105">
        <f t="shared" si="381"/>
        <v>0</v>
      </c>
      <c r="EA29" s="104"/>
      <c r="EB29" s="104"/>
      <c r="EC29" s="104"/>
      <c r="ED29" s="104"/>
      <c r="EE29" s="104"/>
      <c r="EF29" s="104"/>
      <c r="EG29" s="104"/>
      <c r="EH29" s="104"/>
      <c r="EI29" s="104"/>
      <c r="EJ29" s="104"/>
      <c r="EK29" s="104"/>
      <c r="EL29" s="104"/>
      <c r="EM29" s="105">
        <f t="shared" si="382"/>
        <v>0</v>
      </c>
      <c r="EO29" s="104"/>
      <c r="EP29" s="104"/>
      <c r="EQ29" s="104"/>
      <c r="ER29" s="104"/>
      <c r="ES29" s="104"/>
      <c r="ET29" s="104"/>
      <c r="EU29" s="104"/>
      <c r="EV29" s="104"/>
      <c r="EW29" s="104"/>
      <c r="EX29" s="104"/>
      <c r="EY29" s="104"/>
      <c r="EZ29" s="104"/>
      <c r="FA29" s="105">
        <f t="shared" si="383"/>
        <v>0</v>
      </c>
    </row>
    <row r="30" spans="3:157" x14ac:dyDescent="0.25">
      <c r="C30" s="16" t="s">
        <v>23</v>
      </c>
      <c r="E30" s="104">
        <v>50</v>
      </c>
      <c r="F30" s="104">
        <v>50</v>
      </c>
      <c r="G30" s="104">
        <v>50</v>
      </c>
      <c r="H30" s="104">
        <v>50</v>
      </c>
      <c r="I30" s="104">
        <v>50</v>
      </c>
      <c r="J30" s="104">
        <v>50</v>
      </c>
      <c r="K30" s="104">
        <v>50</v>
      </c>
      <c r="L30" s="104">
        <v>50</v>
      </c>
      <c r="M30" s="104">
        <v>50</v>
      </c>
      <c r="N30" s="104">
        <v>50</v>
      </c>
      <c r="O30" s="104">
        <v>50</v>
      </c>
      <c r="P30" s="104">
        <v>50</v>
      </c>
      <c r="Q30" s="105">
        <f t="shared" si="384"/>
        <v>600</v>
      </c>
      <c r="S30" s="104"/>
      <c r="T30" s="104"/>
      <c r="U30" s="104"/>
      <c r="V30" s="104"/>
      <c r="W30" s="104"/>
      <c r="X30" s="104"/>
      <c r="Y30" s="104"/>
      <c r="Z30" s="104"/>
      <c r="AA30" s="104"/>
      <c r="AB30" s="104"/>
      <c r="AC30" s="104"/>
      <c r="AD30" s="104"/>
      <c r="AE30" s="105"/>
      <c r="AG30" s="104"/>
      <c r="AH30" s="104"/>
      <c r="AI30" s="104"/>
      <c r="AJ30" s="104"/>
      <c r="AK30" s="104"/>
      <c r="AL30" s="104"/>
      <c r="AM30" s="104"/>
      <c r="AN30" s="104"/>
      <c r="AO30" s="104"/>
      <c r="AP30" s="104"/>
      <c r="AQ30" s="104"/>
      <c r="AR30" s="104"/>
      <c r="AS30" s="105"/>
      <c r="AU30" s="104"/>
      <c r="AV30" s="104"/>
      <c r="AW30" s="104"/>
      <c r="AX30" s="104"/>
      <c r="AY30" s="104"/>
      <c r="AZ30" s="104"/>
      <c r="BA30" s="104"/>
      <c r="BB30" s="104"/>
      <c r="BC30" s="104"/>
      <c r="BD30" s="104"/>
      <c r="BE30" s="104"/>
      <c r="BF30" s="104"/>
      <c r="BG30" s="105"/>
      <c r="BI30" s="104"/>
      <c r="BJ30" s="104"/>
      <c r="BK30" s="104"/>
      <c r="BL30" s="104"/>
      <c r="BM30" s="104"/>
      <c r="BN30" s="104"/>
      <c r="BO30" s="104"/>
      <c r="BP30" s="104"/>
      <c r="BQ30" s="104"/>
      <c r="BR30" s="104"/>
      <c r="BS30" s="104"/>
      <c r="BT30" s="104"/>
      <c r="BU30" s="105"/>
      <c r="BW30" s="104"/>
      <c r="BX30" s="104"/>
      <c r="BY30" s="104"/>
      <c r="BZ30" s="104"/>
      <c r="CA30" s="104"/>
      <c r="CB30" s="104"/>
      <c r="CC30" s="104"/>
      <c r="CD30" s="104"/>
      <c r="CE30" s="104"/>
      <c r="CF30" s="104"/>
      <c r="CG30" s="104"/>
      <c r="CH30" s="104"/>
      <c r="CI30" s="105"/>
      <c r="CK30" s="104"/>
      <c r="CL30" s="104"/>
      <c r="CM30" s="104"/>
      <c r="CN30" s="104"/>
      <c r="CO30" s="104"/>
      <c r="CP30" s="104"/>
      <c r="CQ30" s="104"/>
      <c r="CR30" s="104"/>
      <c r="CS30" s="104"/>
      <c r="CT30" s="104"/>
      <c r="CU30" s="104"/>
      <c r="CV30" s="104"/>
      <c r="CW30" s="105"/>
      <c r="CY30" s="104"/>
      <c r="CZ30" s="104"/>
      <c r="DA30" s="104"/>
      <c r="DB30" s="104"/>
      <c r="DC30" s="104"/>
      <c r="DD30" s="104"/>
      <c r="DE30" s="104"/>
      <c r="DF30" s="104"/>
      <c r="DG30" s="104"/>
      <c r="DH30" s="104"/>
      <c r="DI30" s="104"/>
      <c r="DJ30" s="104"/>
      <c r="DK30" s="105"/>
      <c r="DM30" s="104"/>
      <c r="DN30" s="104"/>
      <c r="DO30" s="104"/>
      <c r="DP30" s="104"/>
      <c r="DQ30" s="104"/>
      <c r="DR30" s="104"/>
      <c r="DS30" s="104"/>
      <c r="DT30" s="104"/>
      <c r="DU30" s="104"/>
      <c r="DV30" s="104"/>
      <c r="DW30" s="104"/>
      <c r="DX30" s="104"/>
      <c r="DY30" s="105"/>
      <c r="EA30" s="104"/>
      <c r="EB30" s="104"/>
      <c r="EC30" s="104"/>
      <c r="ED30" s="104"/>
      <c r="EE30" s="104"/>
      <c r="EF30" s="104"/>
      <c r="EG30" s="104"/>
      <c r="EH30" s="104"/>
      <c r="EI30" s="104"/>
      <c r="EJ30" s="104"/>
      <c r="EK30" s="104"/>
      <c r="EL30" s="104"/>
      <c r="EM30" s="105"/>
      <c r="EO30" s="104"/>
      <c r="EP30" s="104"/>
      <c r="EQ30" s="104"/>
      <c r="ER30" s="104"/>
      <c r="ES30" s="104"/>
      <c r="ET30" s="104"/>
      <c r="EU30" s="104"/>
      <c r="EV30" s="104"/>
      <c r="EW30" s="104"/>
      <c r="EX30" s="104"/>
      <c r="EY30" s="104"/>
      <c r="EZ30" s="104"/>
      <c r="FA30" s="105"/>
    </row>
    <row r="31" spans="3:157" x14ac:dyDescent="0.25">
      <c r="C31" s="16" t="s">
        <v>24</v>
      </c>
      <c r="E31" s="104">
        <v>300</v>
      </c>
      <c r="F31" s="104">
        <v>300</v>
      </c>
      <c r="G31" s="104">
        <v>300</v>
      </c>
      <c r="H31" s="104">
        <v>1200</v>
      </c>
      <c r="I31" s="104">
        <v>300</v>
      </c>
      <c r="J31" s="104">
        <v>300</v>
      </c>
      <c r="K31" s="104">
        <v>300</v>
      </c>
      <c r="L31" s="104">
        <v>1500</v>
      </c>
      <c r="M31" s="104">
        <v>300</v>
      </c>
      <c r="N31" s="104">
        <v>300</v>
      </c>
      <c r="O31" s="104">
        <v>300</v>
      </c>
      <c r="P31" s="104">
        <v>600</v>
      </c>
      <c r="Q31" s="105">
        <f t="shared" si="384"/>
        <v>6000</v>
      </c>
      <c r="S31" s="104"/>
      <c r="T31" s="104"/>
      <c r="U31" s="104"/>
      <c r="V31" s="104"/>
      <c r="W31" s="104"/>
      <c r="X31" s="104"/>
      <c r="Y31" s="104"/>
      <c r="Z31" s="104"/>
      <c r="AA31" s="104"/>
      <c r="AB31" s="104"/>
      <c r="AC31" s="104"/>
      <c r="AD31" s="104"/>
      <c r="AE31" s="105"/>
      <c r="AG31" s="104"/>
      <c r="AH31" s="104"/>
      <c r="AI31" s="104"/>
      <c r="AJ31" s="104"/>
      <c r="AK31" s="104"/>
      <c r="AL31" s="104"/>
      <c r="AM31" s="104"/>
      <c r="AN31" s="104"/>
      <c r="AO31" s="104"/>
      <c r="AP31" s="104"/>
      <c r="AQ31" s="104"/>
      <c r="AR31" s="104"/>
      <c r="AS31" s="105"/>
      <c r="AU31" s="104"/>
      <c r="AV31" s="104"/>
      <c r="AW31" s="104"/>
      <c r="AX31" s="104"/>
      <c r="AY31" s="104"/>
      <c r="AZ31" s="104"/>
      <c r="BA31" s="104"/>
      <c r="BB31" s="104"/>
      <c r="BC31" s="104"/>
      <c r="BD31" s="104"/>
      <c r="BE31" s="104"/>
      <c r="BF31" s="104"/>
      <c r="BG31" s="105"/>
      <c r="BI31" s="104"/>
      <c r="BJ31" s="104"/>
      <c r="BK31" s="104"/>
      <c r="BL31" s="104"/>
      <c r="BM31" s="104"/>
      <c r="BN31" s="104"/>
      <c r="BO31" s="104"/>
      <c r="BP31" s="104"/>
      <c r="BQ31" s="104"/>
      <c r="BR31" s="104"/>
      <c r="BS31" s="104"/>
      <c r="BT31" s="104"/>
      <c r="BU31" s="105"/>
      <c r="BW31" s="104"/>
      <c r="BX31" s="104"/>
      <c r="BY31" s="104"/>
      <c r="BZ31" s="104"/>
      <c r="CA31" s="104"/>
      <c r="CB31" s="104"/>
      <c r="CC31" s="104"/>
      <c r="CD31" s="104"/>
      <c r="CE31" s="104"/>
      <c r="CF31" s="104"/>
      <c r="CG31" s="104"/>
      <c r="CH31" s="104"/>
      <c r="CI31" s="105"/>
      <c r="CK31" s="104"/>
      <c r="CL31" s="104"/>
      <c r="CM31" s="104"/>
      <c r="CN31" s="104"/>
      <c r="CO31" s="104"/>
      <c r="CP31" s="104"/>
      <c r="CQ31" s="104"/>
      <c r="CR31" s="104"/>
      <c r="CS31" s="104"/>
      <c r="CT31" s="104"/>
      <c r="CU31" s="104"/>
      <c r="CV31" s="104"/>
      <c r="CW31" s="105"/>
      <c r="CY31" s="104"/>
      <c r="CZ31" s="104"/>
      <c r="DA31" s="104"/>
      <c r="DB31" s="104"/>
      <c r="DC31" s="104"/>
      <c r="DD31" s="104"/>
      <c r="DE31" s="104"/>
      <c r="DF31" s="104"/>
      <c r="DG31" s="104"/>
      <c r="DH31" s="104"/>
      <c r="DI31" s="104"/>
      <c r="DJ31" s="104"/>
      <c r="DK31" s="105"/>
      <c r="DM31" s="104"/>
      <c r="DN31" s="104"/>
      <c r="DO31" s="104"/>
      <c r="DP31" s="104"/>
      <c r="DQ31" s="104"/>
      <c r="DR31" s="104"/>
      <c r="DS31" s="104"/>
      <c r="DT31" s="104"/>
      <c r="DU31" s="104"/>
      <c r="DV31" s="104"/>
      <c r="DW31" s="104"/>
      <c r="DX31" s="104"/>
      <c r="DY31" s="105"/>
      <c r="EA31" s="104"/>
      <c r="EB31" s="104"/>
      <c r="EC31" s="104"/>
      <c r="ED31" s="104"/>
      <c r="EE31" s="104"/>
      <c r="EF31" s="104"/>
      <c r="EG31" s="104"/>
      <c r="EH31" s="104"/>
      <c r="EI31" s="104"/>
      <c r="EJ31" s="104"/>
      <c r="EK31" s="104"/>
      <c r="EL31" s="104"/>
      <c r="EM31" s="105"/>
      <c r="EO31" s="104"/>
      <c r="EP31" s="104"/>
      <c r="EQ31" s="104"/>
      <c r="ER31" s="104"/>
      <c r="ES31" s="104"/>
      <c r="ET31" s="104"/>
      <c r="EU31" s="104"/>
      <c r="EV31" s="104"/>
      <c r="EW31" s="104"/>
      <c r="EX31" s="104"/>
      <c r="EY31" s="104"/>
      <c r="EZ31" s="104"/>
      <c r="FA31" s="105"/>
    </row>
    <row r="32" spans="3:157" hidden="1" x14ac:dyDescent="0.25">
      <c r="C32" s="16" t="s">
        <v>12</v>
      </c>
      <c r="E32" s="104"/>
      <c r="F32" s="104"/>
      <c r="G32" s="104"/>
      <c r="H32" s="104"/>
      <c r="I32" s="104"/>
      <c r="J32" s="104"/>
      <c r="K32" s="104"/>
      <c r="L32" s="104"/>
      <c r="M32" s="104"/>
      <c r="N32" s="104"/>
      <c r="O32" s="104"/>
      <c r="P32" s="104"/>
      <c r="Q32" s="105">
        <f t="shared" si="384"/>
        <v>0</v>
      </c>
      <c r="S32" s="104"/>
      <c r="T32" s="104"/>
      <c r="U32" s="104"/>
      <c r="V32" s="104"/>
      <c r="W32" s="104"/>
      <c r="X32" s="104"/>
      <c r="Y32" s="104"/>
      <c r="Z32" s="104"/>
      <c r="AA32" s="104"/>
      <c r="AB32" s="104"/>
      <c r="AC32" s="104"/>
      <c r="AD32" s="104"/>
      <c r="AE32" s="105">
        <f t="shared" si="385"/>
        <v>0</v>
      </c>
      <c r="AG32" s="104"/>
      <c r="AH32" s="104"/>
      <c r="AI32" s="104"/>
      <c r="AJ32" s="104"/>
      <c r="AK32" s="104"/>
      <c r="AL32" s="104"/>
      <c r="AM32" s="104"/>
      <c r="AN32" s="104"/>
      <c r="AO32" s="104"/>
      <c r="AP32" s="104"/>
      <c r="AQ32" s="104"/>
      <c r="AR32" s="104"/>
      <c r="AS32" s="105">
        <f t="shared" si="375"/>
        <v>0</v>
      </c>
      <c r="AU32" s="104"/>
      <c r="AV32" s="104"/>
      <c r="AW32" s="104"/>
      <c r="AX32" s="104"/>
      <c r="AY32" s="104"/>
      <c r="AZ32" s="104"/>
      <c r="BA32" s="104"/>
      <c r="BB32" s="104"/>
      <c r="BC32" s="104"/>
      <c r="BD32" s="104"/>
      <c r="BE32" s="104"/>
      <c r="BF32" s="104"/>
      <c r="BG32" s="105">
        <f t="shared" si="376"/>
        <v>0</v>
      </c>
      <c r="BI32" s="104"/>
      <c r="BJ32" s="104"/>
      <c r="BK32" s="104"/>
      <c r="BL32" s="104"/>
      <c r="BM32" s="104"/>
      <c r="BN32" s="104"/>
      <c r="BO32" s="104"/>
      <c r="BP32" s="104"/>
      <c r="BQ32" s="104"/>
      <c r="BR32" s="104"/>
      <c r="BS32" s="104"/>
      <c r="BT32" s="104"/>
      <c r="BU32" s="105">
        <f t="shared" si="377"/>
        <v>0</v>
      </c>
      <c r="BW32" s="104"/>
      <c r="BX32" s="104"/>
      <c r="BY32" s="104"/>
      <c r="BZ32" s="104"/>
      <c r="CA32" s="104"/>
      <c r="CB32" s="104"/>
      <c r="CC32" s="104"/>
      <c r="CD32" s="104"/>
      <c r="CE32" s="104"/>
      <c r="CF32" s="104"/>
      <c r="CG32" s="104"/>
      <c r="CH32" s="104"/>
      <c r="CI32" s="105">
        <f t="shared" si="378"/>
        <v>0</v>
      </c>
      <c r="CK32" s="104"/>
      <c r="CL32" s="104"/>
      <c r="CM32" s="104"/>
      <c r="CN32" s="104"/>
      <c r="CO32" s="104"/>
      <c r="CP32" s="104"/>
      <c r="CQ32" s="104"/>
      <c r="CR32" s="104"/>
      <c r="CS32" s="104"/>
      <c r="CT32" s="104"/>
      <c r="CU32" s="104"/>
      <c r="CV32" s="104"/>
      <c r="CW32" s="105">
        <f t="shared" si="379"/>
        <v>0</v>
      </c>
      <c r="CY32" s="104"/>
      <c r="CZ32" s="104"/>
      <c r="DA32" s="104"/>
      <c r="DB32" s="104"/>
      <c r="DC32" s="104"/>
      <c r="DD32" s="104"/>
      <c r="DE32" s="104"/>
      <c r="DF32" s="104"/>
      <c r="DG32" s="104"/>
      <c r="DH32" s="104"/>
      <c r="DI32" s="104"/>
      <c r="DJ32" s="104"/>
      <c r="DK32" s="105">
        <f t="shared" si="380"/>
        <v>0</v>
      </c>
      <c r="DM32" s="104"/>
      <c r="DN32" s="104"/>
      <c r="DO32" s="104"/>
      <c r="DP32" s="104"/>
      <c r="DQ32" s="104"/>
      <c r="DR32" s="104"/>
      <c r="DS32" s="104"/>
      <c r="DT32" s="104"/>
      <c r="DU32" s="104"/>
      <c r="DV32" s="104"/>
      <c r="DW32" s="104"/>
      <c r="DX32" s="104"/>
      <c r="DY32" s="105">
        <f t="shared" si="381"/>
        <v>0</v>
      </c>
      <c r="EA32" s="104"/>
      <c r="EB32" s="104"/>
      <c r="EC32" s="104"/>
      <c r="ED32" s="104"/>
      <c r="EE32" s="104"/>
      <c r="EF32" s="104"/>
      <c r="EG32" s="104"/>
      <c r="EH32" s="104"/>
      <c r="EI32" s="104"/>
      <c r="EJ32" s="104"/>
      <c r="EK32" s="104"/>
      <c r="EL32" s="104"/>
      <c r="EM32" s="105">
        <f t="shared" si="382"/>
        <v>0</v>
      </c>
      <c r="EO32" s="104"/>
      <c r="EP32" s="104"/>
      <c r="EQ32" s="104"/>
      <c r="ER32" s="104"/>
      <c r="ES32" s="104"/>
      <c r="ET32" s="104"/>
      <c r="EU32" s="104"/>
      <c r="EV32" s="104"/>
      <c r="EW32" s="104"/>
      <c r="EX32" s="104"/>
      <c r="EY32" s="104"/>
      <c r="EZ32" s="104"/>
      <c r="FA32" s="105">
        <f t="shared" si="383"/>
        <v>0</v>
      </c>
    </row>
    <row r="33" spans="3:157" hidden="1" x14ac:dyDescent="0.25">
      <c r="C33" s="16" t="s">
        <v>12</v>
      </c>
      <c r="E33" s="104"/>
      <c r="F33" s="104"/>
      <c r="G33" s="104"/>
      <c r="H33" s="104"/>
      <c r="I33" s="104"/>
      <c r="J33" s="104"/>
      <c r="K33" s="104"/>
      <c r="L33" s="104"/>
      <c r="M33" s="104"/>
      <c r="N33" s="104"/>
      <c r="O33" s="104"/>
      <c r="P33" s="104"/>
      <c r="Q33" s="105">
        <f t="shared" si="384"/>
        <v>0</v>
      </c>
      <c r="S33" s="104"/>
      <c r="T33" s="104"/>
      <c r="U33" s="104"/>
      <c r="V33" s="104"/>
      <c r="W33" s="104"/>
      <c r="X33" s="104"/>
      <c r="Y33" s="104"/>
      <c r="Z33" s="104"/>
      <c r="AA33" s="104"/>
      <c r="AB33" s="104"/>
      <c r="AC33" s="104"/>
      <c r="AD33" s="104"/>
      <c r="AE33" s="105">
        <f t="shared" si="385"/>
        <v>0</v>
      </c>
      <c r="AG33" s="104"/>
      <c r="AH33" s="104"/>
      <c r="AI33" s="104"/>
      <c r="AJ33" s="104"/>
      <c r="AK33" s="104"/>
      <c r="AL33" s="104"/>
      <c r="AM33" s="104"/>
      <c r="AN33" s="104"/>
      <c r="AO33" s="104"/>
      <c r="AP33" s="104"/>
      <c r="AQ33" s="104"/>
      <c r="AR33" s="104"/>
      <c r="AS33" s="105">
        <f t="shared" si="375"/>
        <v>0</v>
      </c>
      <c r="AU33" s="104"/>
      <c r="AV33" s="104"/>
      <c r="AW33" s="104"/>
      <c r="AX33" s="104"/>
      <c r="AY33" s="104"/>
      <c r="AZ33" s="104"/>
      <c r="BA33" s="104"/>
      <c r="BB33" s="104"/>
      <c r="BC33" s="104"/>
      <c r="BD33" s="104"/>
      <c r="BE33" s="104"/>
      <c r="BF33" s="104"/>
      <c r="BG33" s="105">
        <f t="shared" si="376"/>
        <v>0</v>
      </c>
      <c r="BI33" s="104"/>
      <c r="BJ33" s="104"/>
      <c r="BK33" s="104"/>
      <c r="BL33" s="104"/>
      <c r="BM33" s="104"/>
      <c r="BN33" s="104"/>
      <c r="BO33" s="104"/>
      <c r="BP33" s="104"/>
      <c r="BQ33" s="104"/>
      <c r="BR33" s="104"/>
      <c r="BS33" s="104"/>
      <c r="BT33" s="104"/>
      <c r="BU33" s="105">
        <f t="shared" si="377"/>
        <v>0</v>
      </c>
      <c r="BW33" s="104"/>
      <c r="BX33" s="104"/>
      <c r="BY33" s="104"/>
      <c r="BZ33" s="104"/>
      <c r="CA33" s="104"/>
      <c r="CB33" s="104"/>
      <c r="CC33" s="104"/>
      <c r="CD33" s="104"/>
      <c r="CE33" s="104"/>
      <c r="CF33" s="104"/>
      <c r="CG33" s="104"/>
      <c r="CH33" s="104"/>
      <c r="CI33" s="105">
        <f t="shared" si="378"/>
        <v>0</v>
      </c>
      <c r="CK33" s="104"/>
      <c r="CL33" s="104"/>
      <c r="CM33" s="104"/>
      <c r="CN33" s="104"/>
      <c r="CO33" s="104"/>
      <c r="CP33" s="104"/>
      <c r="CQ33" s="104"/>
      <c r="CR33" s="104"/>
      <c r="CS33" s="104"/>
      <c r="CT33" s="104"/>
      <c r="CU33" s="104"/>
      <c r="CV33" s="104"/>
      <c r="CW33" s="105">
        <f t="shared" si="379"/>
        <v>0</v>
      </c>
      <c r="CY33" s="104"/>
      <c r="CZ33" s="104"/>
      <c r="DA33" s="104"/>
      <c r="DB33" s="104"/>
      <c r="DC33" s="104"/>
      <c r="DD33" s="104"/>
      <c r="DE33" s="104"/>
      <c r="DF33" s="104"/>
      <c r="DG33" s="104"/>
      <c r="DH33" s="104"/>
      <c r="DI33" s="104"/>
      <c r="DJ33" s="104"/>
      <c r="DK33" s="105">
        <f t="shared" si="380"/>
        <v>0</v>
      </c>
      <c r="DM33" s="104"/>
      <c r="DN33" s="104"/>
      <c r="DO33" s="104"/>
      <c r="DP33" s="104"/>
      <c r="DQ33" s="104"/>
      <c r="DR33" s="104"/>
      <c r="DS33" s="104"/>
      <c r="DT33" s="104"/>
      <c r="DU33" s="104"/>
      <c r="DV33" s="104"/>
      <c r="DW33" s="104"/>
      <c r="DX33" s="104"/>
      <c r="DY33" s="105">
        <f t="shared" si="381"/>
        <v>0</v>
      </c>
      <c r="EA33" s="104"/>
      <c r="EB33" s="104"/>
      <c r="EC33" s="104"/>
      <c r="ED33" s="104"/>
      <c r="EE33" s="104"/>
      <c r="EF33" s="104"/>
      <c r="EG33" s="104"/>
      <c r="EH33" s="104"/>
      <c r="EI33" s="104"/>
      <c r="EJ33" s="104"/>
      <c r="EK33" s="104"/>
      <c r="EL33" s="104"/>
      <c r="EM33" s="105">
        <f t="shared" si="382"/>
        <v>0</v>
      </c>
      <c r="EO33" s="104"/>
      <c r="EP33" s="104"/>
      <c r="EQ33" s="104"/>
      <c r="ER33" s="104"/>
      <c r="ES33" s="104"/>
      <c r="ET33" s="104"/>
      <c r="EU33" s="104"/>
      <c r="EV33" s="104"/>
      <c r="EW33" s="104"/>
      <c r="EX33" s="104"/>
      <c r="EY33" s="104"/>
      <c r="EZ33" s="104"/>
      <c r="FA33" s="105">
        <f t="shared" si="383"/>
        <v>0</v>
      </c>
    </row>
    <row r="34" spans="3:157" hidden="1" x14ac:dyDescent="0.25">
      <c r="C34" s="16" t="s">
        <v>12</v>
      </c>
      <c r="E34" s="104"/>
      <c r="F34" s="104"/>
      <c r="G34" s="104"/>
      <c r="H34" s="104"/>
      <c r="I34" s="104"/>
      <c r="J34" s="104"/>
      <c r="K34" s="104"/>
      <c r="L34" s="104"/>
      <c r="M34" s="104"/>
      <c r="N34" s="104"/>
      <c r="O34" s="104"/>
      <c r="P34" s="104"/>
      <c r="Q34" s="105">
        <f t="shared" si="384"/>
        <v>0</v>
      </c>
      <c r="S34" s="104"/>
      <c r="T34" s="104"/>
      <c r="U34" s="104"/>
      <c r="V34" s="104"/>
      <c r="W34" s="104"/>
      <c r="X34" s="104"/>
      <c r="Y34" s="104"/>
      <c r="Z34" s="104"/>
      <c r="AA34" s="104"/>
      <c r="AB34" s="104"/>
      <c r="AC34" s="104"/>
      <c r="AD34" s="104"/>
      <c r="AE34" s="105">
        <f t="shared" si="385"/>
        <v>0</v>
      </c>
      <c r="AG34" s="104"/>
      <c r="AH34" s="104"/>
      <c r="AI34" s="104"/>
      <c r="AJ34" s="104"/>
      <c r="AK34" s="104"/>
      <c r="AL34" s="104"/>
      <c r="AM34" s="104"/>
      <c r="AN34" s="104"/>
      <c r="AO34" s="104"/>
      <c r="AP34" s="104"/>
      <c r="AQ34" s="104"/>
      <c r="AR34" s="104"/>
      <c r="AS34" s="105">
        <f t="shared" si="375"/>
        <v>0</v>
      </c>
      <c r="AU34" s="104"/>
      <c r="AV34" s="104"/>
      <c r="AW34" s="104"/>
      <c r="AX34" s="104"/>
      <c r="AY34" s="104"/>
      <c r="AZ34" s="104"/>
      <c r="BA34" s="104"/>
      <c r="BB34" s="104"/>
      <c r="BC34" s="104"/>
      <c r="BD34" s="104"/>
      <c r="BE34" s="104"/>
      <c r="BF34" s="104"/>
      <c r="BG34" s="105">
        <f t="shared" si="376"/>
        <v>0</v>
      </c>
      <c r="BI34" s="104"/>
      <c r="BJ34" s="104"/>
      <c r="BK34" s="104"/>
      <c r="BL34" s="104"/>
      <c r="BM34" s="104"/>
      <c r="BN34" s="104"/>
      <c r="BO34" s="104"/>
      <c r="BP34" s="104"/>
      <c r="BQ34" s="104"/>
      <c r="BR34" s="104"/>
      <c r="BS34" s="104"/>
      <c r="BT34" s="104"/>
      <c r="BU34" s="105">
        <f t="shared" si="377"/>
        <v>0</v>
      </c>
      <c r="BW34" s="104"/>
      <c r="BX34" s="104"/>
      <c r="BY34" s="104"/>
      <c r="BZ34" s="104"/>
      <c r="CA34" s="104"/>
      <c r="CB34" s="104"/>
      <c r="CC34" s="104"/>
      <c r="CD34" s="104"/>
      <c r="CE34" s="104"/>
      <c r="CF34" s="104"/>
      <c r="CG34" s="104"/>
      <c r="CH34" s="104"/>
      <c r="CI34" s="105">
        <f t="shared" si="378"/>
        <v>0</v>
      </c>
      <c r="CK34" s="104"/>
      <c r="CL34" s="104"/>
      <c r="CM34" s="104"/>
      <c r="CN34" s="104"/>
      <c r="CO34" s="104"/>
      <c r="CP34" s="104"/>
      <c r="CQ34" s="104"/>
      <c r="CR34" s="104"/>
      <c r="CS34" s="104"/>
      <c r="CT34" s="104"/>
      <c r="CU34" s="104"/>
      <c r="CV34" s="104"/>
      <c r="CW34" s="105">
        <f t="shared" si="379"/>
        <v>0</v>
      </c>
      <c r="CY34" s="104"/>
      <c r="CZ34" s="104"/>
      <c r="DA34" s="104"/>
      <c r="DB34" s="104"/>
      <c r="DC34" s="104"/>
      <c r="DD34" s="104"/>
      <c r="DE34" s="104"/>
      <c r="DF34" s="104"/>
      <c r="DG34" s="104"/>
      <c r="DH34" s="104"/>
      <c r="DI34" s="104"/>
      <c r="DJ34" s="104"/>
      <c r="DK34" s="105">
        <f t="shared" si="380"/>
        <v>0</v>
      </c>
      <c r="DM34" s="104"/>
      <c r="DN34" s="104"/>
      <c r="DO34" s="104"/>
      <c r="DP34" s="104"/>
      <c r="DQ34" s="104"/>
      <c r="DR34" s="104"/>
      <c r="DS34" s="104"/>
      <c r="DT34" s="104"/>
      <c r="DU34" s="104"/>
      <c r="DV34" s="104"/>
      <c r="DW34" s="104"/>
      <c r="DX34" s="104"/>
      <c r="DY34" s="105">
        <f t="shared" si="381"/>
        <v>0</v>
      </c>
      <c r="EA34" s="104"/>
      <c r="EB34" s="104"/>
      <c r="EC34" s="104"/>
      <c r="ED34" s="104"/>
      <c r="EE34" s="104"/>
      <c r="EF34" s="104"/>
      <c r="EG34" s="104"/>
      <c r="EH34" s="104"/>
      <c r="EI34" s="104"/>
      <c r="EJ34" s="104"/>
      <c r="EK34" s="104"/>
      <c r="EL34" s="104"/>
      <c r="EM34" s="105">
        <f t="shared" si="382"/>
        <v>0</v>
      </c>
      <c r="EO34" s="104"/>
      <c r="EP34" s="104"/>
      <c r="EQ34" s="104"/>
      <c r="ER34" s="104"/>
      <c r="ES34" s="104"/>
      <c r="ET34" s="104"/>
      <c r="EU34" s="104"/>
      <c r="EV34" s="104"/>
      <c r="EW34" s="104"/>
      <c r="EX34" s="104"/>
      <c r="EY34" s="104"/>
      <c r="EZ34" s="104"/>
      <c r="FA34" s="105">
        <f t="shared" si="383"/>
        <v>0</v>
      </c>
    </row>
    <row r="35" spans="3:157" hidden="1" x14ac:dyDescent="0.25">
      <c r="C35" s="16" t="s">
        <v>12</v>
      </c>
      <c r="E35" s="104"/>
      <c r="F35" s="104"/>
      <c r="G35" s="104"/>
      <c r="H35" s="104"/>
      <c r="I35" s="104"/>
      <c r="J35" s="104"/>
      <c r="K35" s="104"/>
      <c r="L35" s="104"/>
      <c r="M35" s="104"/>
      <c r="N35" s="104"/>
      <c r="O35" s="104"/>
      <c r="P35" s="104"/>
      <c r="Q35" s="105">
        <f t="shared" si="384"/>
        <v>0</v>
      </c>
      <c r="S35" s="104"/>
      <c r="T35" s="104"/>
      <c r="U35" s="104"/>
      <c r="V35" s="104"/>
      <c r="W35" s="104"/>
      <c r="X35" s="104"/>
      <c r="Y35" s="104"/>
      <c r="Z35" s="104"/>
      <c r="AA35" s="104"/>
      <c r="AB35" s="104"/>
      <c r="AC35" s="104"/>
      <c r="AD35" s="104"/>
      <c r="AE35" s="105">
        <f t="shared" si="385"/>
        <v>0</v>
      </c>
      <c r="AG35" s="104"/>
      <c r="AH35" s="104"/>
      <c r="AI35" s="104"/>
      <c r="AJ35" s="104"/>
      <c r="AK35" s="104"/>
      <c r="AL35" s="104"/>
      <c r="AM35" s="104"/>
      <c r="AN35" s="104"/>
      <c r="AO35" s="104"/>
      <c r="AP35" s="104"/>
      <c r="AQ35" s="104"/>
      <c r="AR35" s="104"/>
      <c r="AS35" s="105">
        <f t="shared" si="375"/>
        <v>0</v>
      </c>
      <c r="AU35" s="104"/>
      <c r="AV35" s="104"/>
      <c r="AW35" s="104"/>
      <c r="AX35" s="104"/>
      <c r="AY35" s="104"/>
      <c r="AZ35" s="104"/>
      <c r="BA35" s="104"/>
      <c r="BB35" s="104"/>
      <c r="BC35" s="104"/>
      <c r="BD35" s="104"/>
      <c r="BE35" s="104"/>
      <c r="BF35" s="104"/>
      <c r="BG35" s="105">
        <f t="shared" si="376"/>
        <v>0</v>
      </c>
      <c r="BI35" s="104"/>
      <c r="BJ35" s="104"/>
      <c r="BK35" s="104"/>
      <c r="BL35" s="104"/>
      <c r="BM35" s="104"/>
      <c r="BN35" s="104"/>
      <c r="BO35" s="104"/>
      <c r="BP35" s="104"/>
      <c r="BQ35" s="104"/>
      <c r="BR35" s="104"/>
      <c r="BS35" s="104"/>
      <c r="BT35" s="104"/>
      <c r="BU35" s="105">
        <f t="shared" si="377"/>
        <v>0</v>
      </c>
      <c r="BW35" s="104"/>
      <c r="BX35" s="104"/>
      <c r="BY35" s="104"/>
      <c r="BZ35" s="104"/>
      <c r="CA35" s="104"/>
      <c r="CB35" s="104"/>
      <c r="CC35" s="104"/>
      <c r="CD35" s="104"/>
      <c r="CE35" s="104"/>
      <c r="CF35" s="104"/>
      <c r="CG35" s="104"/>
      <c r="CH35" s="104"/>
      <c r="CI35" s="105">
        <f t="shared" si="378"/>
        <v>0</v>
      </c>
      <c r="CK35" s="104"/>
      <c r="CL35" s="104"/>
      <c r="CM35" s="104"/>
      <c r="CN35" s="104"/>
      <c r="CO35" s="104"/>
      <c r="CP35" s="104"/>
      <c r="CQ35" s="104"/>
      <c r="CR35" s="104"/>
      <c r="CS35" s="104"/>
      <c r="CT35" s="104"/>
      <c r="CU35" s="104"/>
      <c r="CV35" s="104"/>
      <c r="CW35" s="105">
        <f t="shared" si="379"/>
        <v>0</v>
      </c>
      <c r="CY35" s="104"/>
      <c r="CZ35" s="104"/>
      <c r="DA35" s="104"/>
      <c r="DB35" s="104"/>
      <c r="DC35" s="104"/>
      <c r="DD35" s="104"/>
      <c r="DE35" s="104"/>
      <c r="DF35" s="104"/>
      <c r="DG35" s="104"/>
      <c r="DH35" s="104"/>
      <c r="DI35" s="104"/>
      <c r="DJ35" s="104"/>
      <c r="DK35" s="105">
        <f t="shared" si="380"/>
        <v>0</v>
      </c>
      <c r="DM35" s="104"/>
      <c r="DN35" s="104"/>
      <c r="DO35" s="104"/>
      <c r="DP35" s="104"/>
      <c r="DQ35" s="104"/>
      <c r="DR35" s="104"/>
      <c r="DS35" s="104"/>
      <c r="DT35" s="104"/>
      <c r="DU35" s="104"/>
      <c r="DV35" s="104"/>
      <c r="DW35" s="104"/>
      <c r="DX35" s="104"/>
      <c r="DY35" s="105">
        <f t="shared" si="381"/>
        <v>0</v>
      </c>
      <c r="EA35" s="104"/>
      <c r="EB35" s="104"/>
      <c r="EC35" s="104"/>
      <c r="ED35" s="104"/>
      <c r="EE35" s="104"/>
      <c r="EF35" s="104"/>
      <c r="EG35" s="104"/>
      <c r="EH35" s="104"/>
      <c r="EI35" s="104"/>
      <c r="EJ35" s="104"/>
      <c r="EK35" s="104"/>
      <c r="EL35" s="104"/>
      <c r="EM35" s="105">
        <f t="shared" si="382"/>
        <v>0</v>
      </c>
      <c r="EO35" s="104"/>
      <c r="EP35" s="104"/>
      <c r="EQ35" s="104"/>
      <c r="ER35" s="104"/>
      <c r="ES35" s="104"/>
      <c r="ET35" s="104"/>
      <c r="EU35" s="104"/>
      <c r="EV35" s="104"/>
      <c r="EW35" s="104"/>
      <c r="EX35" s="104"/>
      <c r="EY35" s="104"/>
      <c r="EZ35" s="104"/>
      <c r="FA35" s="105">
        <f t="shared" si="383"/>
        <v>0</v>
      </c>
    </row>
    <row r="36" spans="3:157" x14ac:dyDescent="0.25">
      <c r="C36" s="12" t="s">
        <v>6</v>
      </c>
      <c r="E36" s="103" cm="1">
        <f t="array" aca="1" ref="E36" ca="1">SUM(INDIRECT(ADDRESS(expenses_min_row, COLUMN()) &amp; ":" &amp; ADDRESS(expenses_max_row, COLUMN())))</f>
        <v>2900</v>
      </c>
      <c r="F36" s="103" cm="1">
        <f t="array" aca="1" ref="F36" ca="1">SUM(INDIRECT(ADDRESS(expenses_min_row, COLUMN()) &amp; ":" &amp; ADDRESS(expenses_max_row, COLUMN())))</f>
        <v>2900</v>
      </c>
      <c r="G36" s="103" cm="1">
        <f t="array" aca="1" ref="G36" ca="1">SUM(INDIRECT(ADDRESS(expenses_min_row, COLUMN()) &amp; ":" &amp; ADDRESS(expenses_max_row, COLUMN())))</f>
        <v>3050</v>
      </c>
      <c r="H36" s="103" cm="1">
        <f t="array" aca="1" ref="H36" ca="1">SUM(INDIRECT(ADDRESS(expenses_min_row, COLUMN()) &amp; ":" &amp; ADDRESS(expenses_max_row, COLUMN())))</f>
        <v>3800</v>
      </c>
      <c r="I36" s="103" cm="1">
        <f t="array" aca="1" ref="I36" ca="1">SUM(INDIRECT(ADDRESS(expenses_min_row, COLUMN()) &amp; ":" &amp; ADDRESS(expenses_max_row, COLUMN())))</f>
        <v>2900</v>
      </c>
      <c r="J36" s="103" cm="1">
        <f t="array" aca="1" ref="J36" ca="1">SUM(INDIRECT(ADDRESS(expenses_min_row, COLUMN()) &amp; ":" &amp; ADDRESS(expenses_max_row, COLUMN())))</f>
        <v>3050</v>
      </c>
      <c r="K36" s="103" cm="1">
        <f t="array" aca="1" ref="K36" ca="1">SUM(INDIRECT(ADDRESS(expenses_min_row, COLUMN()) &amp; ":" &amp; ADDRESS(expenses_max_row, COLUMN())))</f>
        <v>2900</v>
      </c>
      <c r="L36" s="103" cm="1">
        <f t="array" aca="1" ref="L36" ca="1">SUM(INDIRECT(ADDRESS(expenses_min_row, COLUMN()) &amp; ":" &amp; ADDRESS(expenses_max_row, COLUMN())))</f>
        <v>4100</v>
      </c>
      <c r="M36" s="103" cm="1">
        <f t="array" aca="1" ref="M36" ca="1">SUM(INDIRECT(ADDRESS(expenses_min_row, COLUMN()) &amp; ":" &amp; ADDRESS(expenses_max_row, COLUMN())))</f>
        <v>3050</v>
      </c>
      <c r="N36" s="103" cm="1">
        <f t="array" aca="1" ref="N36" ca="1">SUM(INDIRECT(ADDRESS(expenses_min_row, COLUMN()) &amp; ":" &amp; ADDRESS(expenses_max_row, COLUMN())))</f>
        <v>2900</v>
      </c>
      <c r="O36" s="103" cm="1">
        <f t="array" aca="1" ref="O36" ca="1">SUM(INDIRECT(ADDRESS(expenses_min_row, COLUMN()) &amp; ":" &amp; ADDRESS(expenses_max_row, COLUMN())))</f>
        <v>2900</v>
      </c>
      <c r="P36" s="103" cm="1">
        <f t="array" aca="1" ref="P36" ca="1">SUM(INDIRECT(ADDRESS(expenses_min_row, COLUMN()) &amp; ":" &amp; ADDRESS(expenses_max_row, COLUMN())))</f>
        <v>3350</v>
      </c>
      <c r="Q36" s="103" cm="1">
        <f t="array" aca="1" ref="Q36" ca="1">SUM(INDIRECT(ADDRESS(expenses_min_row, COLUMN()) &amp; ":" &amp; ADDRESS(expenses_max_row, COLUMN())))</f>
        <v>37800</v>
      </c>
      <c r="S36" s="103" cm="1">
        <f t="array" aca="1" ref="S36" ca="1">SUM(INDIRECT(ADDRESS(expenses_min_row, COLUMN()) &amp; ":" &amp; ADDRESS(expenses_max_row, COLUMN())))</f>
        <v>0</v>
      </c>
      <c r="T36" s="103" cm="1">
        <f t="array" aca="1" ref="T36" ca="1">SUM(INDIRECT(ADDRESS(expenses_min_row, COLUMN()) &amp; ":" &amp; ADDRESS(expenses_max_row, COLUMN())))</f>
        <v>0</v>
      </c>
      <c r="U36" s="103" cm="1">
        <f t="array" aca="1" ref="U36" ca="1">SUM(INDIRECT(ADDRESS(expenses_min_row, COLUMN()) &amp; ":" &amp; ADDRESS(expenses_max_row, COLUMN())))</f>
        <v>0</v>
      </c>
      <c r="V36" s="103" cm="1">
        <f t="array" aca="1" ref="V36" ca="1">SUM(INDIRECT(ADDRESS(expenses_min_row, COLUMN()) &amp; ":" &amp; ADDRESS(expenses_max_row, COLUMN())))</f>
        <v>0</v>
      </c>
      <c r="W36" s="103" cm="1">
        <f t="array" aca="1" ref="W36" ca="1">SUM(INDIRECT(ADDRESS(expenses_min_row, COLUMN()) &amp; ":" &amp; ADDRESS(expenses_max_row, COLUMN())))</f>
        <v>0</v>
      </c>
      <c r="X36" s="103" cm="1">
        <f t="array" aca="1" ref="X36" ca="1">SUM(INDIRECT(ADDRESS(expenses_min_row, COLUMN()) &amp; ":" &amp; ADDRESS(expenses_max_row, COLUMN())))</f>
        <v>0</v>
      </c>
      <c r="Y36" s="103" cm="1">
        <f t="array" aca="1" ref="Y36" ca="1">SUM(INDIRECT(ADDRESS(expenses_min_row, COLUMN()) &amp; ":" &amp; ADDRESS(expenses_max_row, COLUMN())))</f>
        <v>0</v>
      </c>
      <c r="Z36" s="103" cm="1">
        <f t="array" aca="1" ref="Z36" ca="1">SUM(INDIRECT(ADDRESS(expenses_min_row, COLUMN()) &amp; ":" &amp; ADDRESS(expenses_max_row, COLUMN())))</f>
        <v>0</v>
      </c>
      <c r="AA36" s="103" cm="1">
        <f t="array" aca="1" ref="AA36" ca="1">SUM(INDIRECT(ADDRESS(expenses_min_row, COLUMN()) &amp; ":" &amp; ADDRESS(expenses_max_row, COLUMN())))</f>
        <v>0</v>
      </c>
      <c r="AB36" s="103" cm="1">
        <f t="array" aca="1" ref="AB36" ca="1">SUM(INDIRECT(ADDRESS(expenses_min_row, COLUMN()) &amp; ":" &amp; ADDRESS(expenses_max_row, COLUMN())))</f>
        <v>0</v>
      </c>
      <c r="AC36" s="103" cm="1">
        <f t="array" aca="1" ref="AC36" ca="1">SUM(INDIRECT(ADDRESS(expenses_min_row, COLUMN()) &amp; ":" &amp; ADDRESS(expenses_max_row, COLUMN())))</f>
        <v>0</v>
      </c>
      <c r="AD36" s="103" cm="1">
        <f t="array" aca="1" ref="AD36" ca="1">SUM(INDIRECT(ADDRESS(expenses_min_row, COLUMN()) &amp; ":" &amp; ADDRESS(expenses_max_row, COLUMN())))</f>
        <v>0</v>
      </c>
      <c r="AE36" s="103" cm="1">
        <f t="array" aca="1" ref="AE36" ca="1">SUM(INDIRECT(ADDRESS(expenses_min_row, COLUMN()) &amp; ":" &amp; ADDRESS(expenses_max_row, COLUMN())))</f>
        <v>0</v>
      </c>
      <c r="AG36" s="103" cm="1">
        <f t="array" aca="1" ref="AG36" ca="1">SUM(INDIRECT(ADDRESS(expenses_min_row, COLUMN()) &amp; ":" &amp; ADDRESS(expenses_max_row, COLUMN())))</f>
        <v>0</v>
      </c>
      <c r="AH36" s="103" cm="1">
        <f t="array" aca="1" ref="AH36" ca="1">SUM(INDIRECT(ADDRESS(expenses_min_row, COLUMN()) &amp; ":" &amp; ADDRESS(expenses_max_row, COLUMN())))</f>
        <v>0</v>
      </c>
      <c r="AI36" s="103" cm="1">
        <f t="array" aca="1" ref="AI36" ca="1">SUM(INDIRECT(ADDRESS(expenses_min_row, COLUMN()) &amp; ":" &amp; ADDRESS(expenses_max_row, COLUMN())))</f>
        <v>0</v>
      </c>
      <c r="AJ36" s="103" cm="1">
        <f t="array" aca="1" ref="AJ36" ca="1">SUM(INDIRECT(ADDRESS(expenses_min_row, COLUMN()) &amp; ":" &amp; ADDRESS(expenses_max_row, COLUMN())))</f>
        <v>0</v>
      </c>
      <c r="AK36" s="103" cm="1">
        <f t="array" aca="1" ref="AK36" ca="1">SUM(INDIRECT(ADDRESS(expenses_min_row, COLUMN()) &amp; ":" &amp; ADDRESS(expenses_max_row, COLUMN())))</f>
        <v>0</v>
      </c>
      <c r="AL36" s="103" cm="1">
        <f t="array" aca="1" ref="AL36" ca="1">SUM(INDIRECT(ADDRESS(expenses_min_row, COLUMN()) &amp; ":" &amp; ADDRESS(expenses_max_row, COLUMN())))</f>
        <v>0</v>
      </c>
      <c r="AM36" s="103" cm="1">
        <f t="array" aca="1" ref="AM36" ca="1">SUM(INDIRECT(ADDRESS(expenses_min_row, COLUMN()) &amp; ":" &amp; ADDRESS(expenses_max_row, COLUMN())))</f>
        <v>0</v>
      </c>
      <c r="AN36" s="103" cm="1">
        <f t="array" aca="1" ref="AN36" ca="1">SUM(INDIRECT(ADDRESS(expenses_min_row, COLUMN()) &amp; ":" &amp; ADDRESS(expenses_max_row, COLUMN())))</f>
        <v>0</v>
      </c>
      <c r="AO36" s="103" cm="1">
        <f t="array" aca="1" ref="AO36" ca="1">SUM(INDIRECT(ADDRESS(expenses_min_row, COLUMN()) &amp; ":" &amp; ADDRESS(expenses_max_row, COLUMN())))</f>
        <v>0</v>
      </c>
      <c r="AP36" s="103" cm="1">
        <f t="array" aca="1" ref="AP36" ca="1">SUM(INDIRECT(ADDRESS(expenses_min_row, COLUMN()) &amp; ":" &amp; ADDRESS(expenses_max_row, COLUMN())))</f>
        <v>0</v>
      </c>
      <c r="AQ36" s="103" cm="1">
        <f t="array" aca="1" ref="AQ36" ca="1">SUM(INDIRECT(ADDRESS(expenses_min_row, COLUMN()) &amp; ":" &amp; ADDRESS(expenses_max_row, COLUMN())))</f>
        <v>0</v>
      </c>
      <c r="AR36" s="103" cm="1">
        <f t="array" aca="1" ref="AR36" ca="1">SUM(INDIRECT(ADDRESS(expenses_min_row, COLUMN()) &amp; ":" &amp; ADDRESS(expenses_max_row, COLUMN())))</f>
        <v>0</v>
      </c>
      <c r="AS36" s="103" cm="1">
        <f t="array" aca="1" ref="AS36" ca="1">SUM(INDIRECT(ADDRESS(expenses_min_row, COLUMN()) &amp; ":" &amp; ADDRESS(expenses_max_row, COLUMN())))</f>
        <v>0</v>
      </c>
      <c r="AU36" s="103" cm="1">
        <f t="array" aca="1" ref="AU36" ca="1">SUM(INDIRECT(ADDRESS(expenses_min_row, COLUMN()) &amp; ":" &amp; ADDRESS(expenses_max_row, COLUMN())))</f>
        <v>0</v>
      </c>
      <c r="AV36" s="103" cm="1">
        <f t="array" aca="1" ref="AV36" ca="1">SUM(INDIRECT(ADDRESS(expenses_min_row, COLUMN()) &amp; ":" &amp; ADDRESS(expenses_max_row, COLUMN())))</f>
        <v>0</v>
      </c>
      <c r="AW36" s="103" cm="1">
        <f t="array" aca="1" ref="AW36" ca="1">SUM(INDIRECT(ADDRESS(expenses_min_row, COLUMN()) &amp; ":" &amp; ADDRESS(expenses_max_row, COLUMN())))</f>
        <v>0</v>
      </c>
      <c r="AX36" s="103" cm="1">
        <f t="array" aca="1" ref="AX36" ca="1">SUM(INDIRECT(ADDRESS(expenses_min_row, COLUMN()) &amp; ":" &amp; ADDRESS(expenses_max_row, COLUMN())))</f>
        <v>0</v>
      </c>
      <c r="AY36" s="103" cm="1">
        <f t="array" aca="1" ref="AY36" ca="1">SUM(INDIRECT(ADDRESS(expenses_min_row, COLUMN()) &amp; ":" &amp; ADDRESS(expenses_max_row, COLUMN())))</f>
        <v>0</v>
      </c>
      <c r="AZ36" s="103" cm="1">
        <f t="array" aca="1" ref="AZ36" ca="1">SUM(INDIRECT(ADDRESS(expenses_min_row, COLUMN()) &amp; ":" &amp; ADDRESS(expenses_max_row, COLUMN())))</f>
        <v>0</v>
      </c>
      <c r="BA36" s="103" cm="1">
        <f t="array" aca="1" ref="BA36" ca="1">SUM(INDIRECT(ADDRESS(expenses_min_row, COLUMN()) &amp; ":" &amp; ADDRESS(expenses_max_row, COLUMN())))</f>
        <v>0</v>
      </c>
      <c r="BB36" s="103" cm="1">
        <f t="array" aca="1" ref="BB36" ca="1">SUM(INDIRECT(ADDRESS(expenses_min_row, COLUMN()) &amp; ":" &amp; ADDRESS(expenses_max_row, COLUMN())))</f>
        <v>0</v>
      </c>
      <c r="BC36" s="103" cm="1">
        <f t="array" aca="1" ref="BC36" ca="1">SUM(INDIRECT(ADDRESS(expenses_min_row, COLUMN()) &amp; ":" &amp; ADDRESS(expenses_max_row, COLUMN())))</f>
        <v>0</v>
      </c>
      <c r="BD36" s="103" cm="1">
        <f t="array" aca="1" ref="BD36" ca="1">SUM(INDIRECT(ADDRESS(expenses_min_row, COLUMN()) &amp; ":" &amp; ADDRESS(expenses_max_row, COLUMN())))</f>
        <v>0</v>
      </c>
      <c r="BE36" s="103" cm="1">
        <f t="array" aca="1" ref="BE36" ca="1">SUM(INDIRECT(ADDRESS(expenses_min_row, COLUMN()) &amp; ":" &amp; ADDRESS(expenses_max_row, COLUMN())))</f>
        <v>0</v>
      </c>
      <c r="BF36" s="103" cm="1">
        <f t="array" aca="1" ref="BF36" ca="1">SUM(INDIRECT(ADDRESS(expenses_min_row, COLUMN()) &amp; ":" &amp; ADDRESS(expenses_max_row, COLUMN())))</f>
        <v>0</v>
      </c>
      <c r="BG36" s="103" cm="1">
        <f t="array" aca="1" ref="BG36" ca="1">SUM(INDIRECT(ADDRESS(expenses_min_row, COLUMN()) &amp; ":" &amp; ADDRESS(expenses_max_row, COLUMN())))</f>
        <v>0</v>
      </c>
      <c r="BI36" s="103" cm="1">
        <f t="array" aca="1" ref="BI36" ca="1">SUM(INDIRECT(ADDRESS(expenses_min_row, COLUMN()) &amp; ":" &amp; ADDRESS(expenses_max_row, COLUMN())))</f>
        <v>0</v>
      </c>
      <c r="BJ36" s="103" cm="1">
        <f t="array" aca="1" ref="BJ36" ca="1">SUM(INDIRECT(ADDRESS(expenses_min_row, COLUMN()) &amp; ":" &amp; ADDRESS(expenses_max_row, COLUMN())))</f>
        <v>0</v>
      </c>
      <c r="BK36" s="103" cm="1">
        <f t="array" aca="1" ref="BK36" ca="1">SUM(INDIRECT(ADDRESS(expenses_min_row, COLUMN()) &amp; ":" &amp; ADDRESS(expenses_max_row, COLUMN())))</f>
        <v>0</v>
      </c>
      <c r="BL36" s="103" cm="1">
        <f t="array" aca="1" ref="BL36" ca="1">SUM(INDIRECT(ADDRESS(expenses_min_row, COLUMN()) &amp; ":" &amp; ADDRESS(expenses_max_row, COLUMN())))</f>
        <v>0</v>
      </c>
      <c r="BM36" s="103" cm="1">
        <f t="array" aca="1" ref="BM36" ca="1">SUM(INDIRECT(ADDRESS(expenses_min_row, COLUMN()) &amp; ":" &amp; ADDRESS(expenses_max_row, COLUMN())))</f>
        <v>0</v>
      </c>
      <c r="BN36" s="103" cm="1">
        <f t="array" aca="1" ref="BN36" ca="1">SUM(INDIRECT(ADDRESS(expenses_min_row, COLUMN()) &amp; ":" &amp; ADDRESS(expenses_max_row, COLUMN())))</f>
        <v>0</v>
      </c>
      <c r="BO36" s="103" cm="1">
        <f t="array" aca="1" ref="BO36" ca="1">SUM(INDIRECT(ADDRESS(expenses_min_row, COLUMN()) &amp; ":" &amp; ADDRESS(expenses_max_row, COLUMN())))</f>
        <v>0</v>
      </c>
      <c r="BP36" s="103" cm="1">
        <f t="array" aca="1" ref="BP36" ca="1">SUM(INDIRECT(ADDRESS(expenses_min_row, COLUMN()) &amp; ":" &amp; ADDRESS(expenses_max_row, COLUMN())))</f>
        <v>0</v>
      </c>
      <c r="BQ36" s="103" cm="1">
        <f t="array" aca="1" ref="BQ36" ca="1">SUM(INDIRECT(ADDRESS(expenses_min_row, COLUMN()) &amp; ":" &amp; ADDRESS(expenses_max_row, COLUMN())))</f>
        <v>0</v>
      </c>
      <c r="BR36" s="103" cm="1">
        <f t="array" aca="1" ref="BR36" ca="1">SUM(INDIRECT(ADDRESS(expenses_min_row, COLUMN()) &amp; ":" &amp; ADDRESS(expenses_max_row, COLUMN())))</f>
        <v>0</v>
      </c>
      <c r="BS36" s="103" cm="1">
        <f t="array" aca="1" ref="BS36" ca="1">SUM(INDIRECT(ADDRESS(expenses_min_row, COLUMN()) &amp; ":" &amp; ADDRESS(expenses_max_row, COLUMN())))</f>
        <v>0</v>
      </c>
      <c r="BT36" s="103" cm="1">
        <f t="array" aca="1" ref="BT36" ca="1">SUM(INDIRECT(ADDRESS(expenses_min_row, COLUMN()) &amp; ":" &amp; ADDRESS(expenses_max_row, COLUMN())))</f>
        <v>0</v>
      </c>
      <c r="BU36" s="103" cm="1">
        <f t="array" aca="1" ref="BU36" ca="1">SUM(INDIRECT(ADDRESS(expenses_min_row, COLUMN()) &amp; ":" &amp; ADDRESS(expenses_max_row, COLUMN())))</f>
        <v>0</v>
      </c>
      <c r="BW36" s="103" cm="1">
        <f t="array" aca="1" ref="BW36" ca="1">SUM(INDIRECT(ADDRESS(expenses_min_row, COLUMN()) &amp; ":" &amp; ADDRESS(expenses_max_row, COLUMN())))</f>
        <v>0</v>
      </c>
      <c r="BX36" s="103" cm="1">
        <f t="array" aca="1" ref="BX36" ca="1">SUM(INDIRECT(ADDRESS(expenses_min_row, COLUMN()) &amp; ":" &amp; ADDRESS(expenses_max_row, COLUMN())))</f>
        <v>0</v>
      </c>
      <c r="BY36" s="103" cm="1">
        <f t="array" aca="1" ref="BY36" ca="1">SUM(INDIRECT(ADDRESS(expenses_min_row, COLUMN()) &amp; ":" &amp; ADDRESS(expenses_max_row, COLUMN())))</f>
        <v>0</v>
      </c>
      <c r="BZ36" s="103" cm="1">
        <f t="array" aca="1" ref="BZ36" ca="1">SUM(INDIRECT(ADDRESS(expenses_min_row, COLUMN()) &amp; ":" &amp; ADDRESS(expenses_max_row, COLUMN())))</f>
        <v>0</v>
      </c>
      <c r="CA36" s="103" cm="1">
        <f t="array" aca="1" ref="CA36" ca="1">SUM(INDIRECT(ADDRESS(expenses_min_row, COLUMN()) &amp; ":" &amp; ADDRESS(expenses_max_row, COLUMN())))</f>
        <v>0</v>
      </c>
      <c r="CB36" s="103" cm="1">
        <f t="array" aca="1" ref="CB36" ca="1">SUM(INDIRECT(ADDRESS(expenses_min_row, COLUMN()) &amp; ":" &amp; ADDRESS(expenses_max_row, COLUMN())))</f>
        <v>0</v>
      </c>
      <c r="CC36" s="103" cm="1">
        <f t="array" aca="1" ref="CC36" ca="1">SUM(INDIRECT(ADDRESS(expenses_min_row, COLUMN()) &amp; ":" &amp; ADDRESS(expenses_max_row, COLUMN())))</f>
        <v>0</v>
      </c>
      <c r="CD36" s="103" cm="1">
        <f t="array" aca="1" ref="CD36" ca="1">SUM(INDIRECT(ADDRESS(expenses_min_row, COLUMN()) &amp; ":" &amp; ADDRESS(expenses_max_row, COLUMN())))</f>
        <v>0</v>
      </c>
      <c r="CE36" s="103" cm="1">
        <f t="array" aca="1" ref="CE36" ca="1">SUM(INDIRECT(ADDRESS(expenses_min_row, COLUMN()) &amp; ":" &amp; ADDRESS(expenses_max_row, COLUMN())))</f>
        <v>0</v>
      </c>
      <c r="CF36" s="103" cm="1">
        <f t="array" aca="1" ref="CF36" ca="1">SUM(INDIRECT(ADDRESS(expenses_min_row, COLUMN()) &amp; ":" &amp; ADDRESS(expenses_max_row, COLUMN())))</f>
        <v>0</v>
      </c>
      <c r="CG36" s="103" cm="1">
        <f t="array" aca="1" ref="CG36" ca="1">SUM(INDIRECT(ADDRESS(expenses_min_row, COLUMN()) &amp; ":" &amp; ADDRESS(expenses_max_row, COLUMN())))</f>
        <v>0</v>
      </c>
      <c r="CH36" s="103" cm="1">
        <f t="array" aca="1" ref="CH36" ca="1">SUM(INDIRECT(ADDRESS(expenses_min_row, COLUMN()) &amp; ":" &amp; ADDRESS(expenses_max_row, COLUMN())))</f>
        <v>0</v>
      </c>
      <c r="CI36" s="103" cm="1">
        <f t="array" aca="1" ref="CI36" ca="1">SUM(INDIRECT(ADDRESS(expenses_min_row, COLUMN()) &amp; ":" &amp; ADDRESS(expenses_max_row, COLUMN())))</f>
        <v>0</v>
      </c>
      <c r="CK36" s="103" cm="1">
        <f t="array" aca="1" ref="CK36" ca="1">SUM(INDIRECT(ADDRESS(expenses_min_row, COLUMN()) &amp; ":" &amp; ADDRESS(expenses_max_row, COLUMN())))</f>
        <v>0</v>
      </c>
      <c r="CL36" s="103" cm="1">
        <f t="array" aca="1" ref="CL36" ca="1">SUM(INDIRECT(ADDRESS(expenses_min_row, COLUMN()) &amp; ":" &amp; ADDRESS(expenses_max_row, COLUMN())))</f>
        <v>0</v>
      </c>
      <c r="CM36" s="103" cm="1">
        <f t="array" aca="1" ref="CM36" ca="1">SUM(INDIRECT(ADDRESS(expenses_min_row, COLUMN()) &amp; ":" &amp; ADDRESS(expenses_max_row, COLUMN())))</f>
        <v>0</v>
      </c>
      <c r="CN36" s="103" cm="1">
        <f t="array" aca="1" ref="CN36" ca="1">SUM(INDIRECT(ADDRESS(expenses_min_row, COLUMN()) &amp; ":" &amp; ADDRESS(expenses_max_row, COLUMN())))</f>
        <v>0</v>
      </c>
      <c r="CO36" s="103" cm="1">
        <f t="array" aca="1" ref="CO36" ca="1">SUM(INDIRECT(ADDRESS(expenses_min_row, COLUMN()) &amp; ":" &amp; ADDRESS(expenses_max_row, COLUMN())))</f>
        <v>0</v>
      </c>
      <c r="CP36" s="103" cm="1">
        <f t="array" aca="1" ref="CP36" ca="1">SUM(INDIRECT(ADDRESS(expenses_min_row, COLUMN()) &amp; ":" &amp; ADDRESS(expenses_max_row, COLUMN())))</f>
        <v>0</v>
      </c>
      <c r="CQ36" s="103" cm="1">
        <f t="array" aca="1" ref="CQ36" ca="1">SUM(INDIRECT(ADDRESS(expenses_min_row, COLUMN()) &amp; ":" &amp; ADDRESS(expenses_max_row, COLUMN())))</f>
        <v>0</v>
      </c>
      <c r="CR36" s="103" cm="1">
        <f t="array" aca="1" ref="CR36" ca="1">SUM(INDIRECT(ADDRESS(expenses_min_row, COLUMN()) &amp; ":" &amp; ADDRESS(expenses_max_row, COLUMN())))</f>
        <v>0</v>
      </c>
      <c r="CS36" s="103" cm="1">
        <f t="array" aca="1" ref="CS36" ca="1">SUM(INDIRECT(ADDRESS(expenses_min_row, COLUMN()) &amp; ":" &amp; ADDRESS(expenses_max_row, COLUMN())))</f>
        <v>0</v>
      </c>
      <c r="CT36" s="103" cm="1">
        <f t="array" aca="1" ref="CT36" ca="1">SUM(INDIRECT(ADDRESS(expenses_min_row, COLUMN()) &amp; ":" &amp; ADDRESS(expenses_max_row, COLUMN())))</f>
        <v>0</v>
      </c>
      <c r="CU36" s="103" cm="1">
        <f t="array" aca="1" ref="CU36" ca="1">SUM(INDIRECT(ADDRESS(expenses_min_row, COLUMN()) &amp; ":" &amp; ADDRESS(expenses_max_row, COLUMN())))</f>
        <v>0</v>
      </c>
      <c r="CV36" s="103" cm="1">
        <f t="array" aca="1" ref="CV36" ca="1">SUM(INDIRECT(ADDRESS(expenses_min_row, COLUMN()) &amp; ":" &amp; ADDRESS(expenses_max_row, COLUMN())))</f>
        <v>0</v>
      </c>
      <c r="CW36" s="103" cm="1">
        <f t="array" aca="1" ref="CW36" ca="1">SUM(INDIRECT(ADDRESS(expenses_min_row, COLUMN()) &amp; ":" &amp; ADDRESS(expenses_max_row, COLUMN())))</f>
        <v>0</v>
      </c>
      <c r="CY36" s="103" cm="1">
        <f t="array" aca="1" ref="CY36" ca="1">SUM(INDIRECT(ADDRESS(expenses_min_row, COLUMN()) &amp; ":" &amp; ADDRESS(expenses_max_row, COLUMN())))</f>
        <v>0</v>
      </c>
      <c r="CZ36" s="103" cm="1">
        <f t="array" aca="1" ref="CZ36" ca="1">SUM(INDIRECT(ADDRESS(expenses_min_row, COLUMN()) &amp; ":" &amp; ADDRESS(expenses_max_row, COLUMN())))</f>
        <v>0</v>
      </c>
      <c r="DA36" s="103" cm="1">
        <f t="array" aca="1" ref="DA36" ca="1">SUM(INDIRECT(ADDRESS(expenses_min_row, COLUMN()) &amp; ":" &amp; ADDRESS(expenses_max_row, COLUMN())))</f>
        <v>0</v>
      </c>
      <c r="DB36" s="103" cm="1">
        <f t="array" aca="1" ref="DB36" ca="1">SUM(INDIRECT(ADDRESS(expenses_min_row, COLUMN()) &amp; ":" &amp; ADDRESS(expenses_max_row, COLUMN())))</f>
        <v>0</v>
      </c>
      <c r="DC36" s="103" cm="1">
        <f t="array" aca="1" ref="DC36" ca="1">SUM(INDIRECT(ADDRESS(expenses_min_row, COLUMN()) &amp; ":" &amp; ADDRESS(expenses_max_row, COLUMN())))</f>
        <v>0</v>
      </c>
      <c r="DD36" s="103" cm="1">
        <f t="array" aca="1" ref="DD36" ca="1">SUM(INDIRECT(ADDRESS(expenses_min_row, COLUMN()) &amp; ":" &amp; ADDRESS(expenses_max_row, COLUMN())))</f>
        <v>0</v>
      </c>
      <c r="DE36" s="103" cm="1">
        <f t="array" aca="1" ref="DE36" ca="1">SUM(INDIRECT(ADDRESS(expenses_min_row, COLUMN()) &amp; ":" &amp; ADDRESS(expenses_max_row, COLUMN())))</f>
        <v>0</v>
      </c>
      <c r="DF36" s="103" cm="1">
        <f t="array" aca="1" ref="DF36" ca="1">SUM(INDIRECT(ADDRESS(expenses_min_row, COLUMN()) &amp; ":" &amp; ADDRESS(expenses_max_row, COLUMN())))</f>
        <v>0</v>
      </c>
      <c r="DG36" s="103" cm="1">
        <f t="array" aca="1" ref="DG36" ca="1">SUM(INDIRECT(ADDRESS(expenses_min_row, COLUMN()) &amp; ":" &amp; ADDRESS(expenses_max_row, COLUMN())))</f>
        <v>0</v>
      </c>
      <c r="DH36" s="103" cm="1">
        <f t="array" aca="1" ref="DH36" ca="1">SUM(INDIRECT(ADDRESS(expenses_min_row, COLUMN()) &amp; ":" &amp; ADDRESS(expenses_max_row, COLUMN())))</f>
        <v>0</v>
      </c>
      <c r="DI36" s="103" cm="1">
        <f t="array" aca="1" ref="DI36" ca="1">SUM(INDIRECT(ADDRESS(expenses_min_row, COLUMN()) &amp; ":" &amp; ADDRESS(expenses_max_row, COLUMN())))</f>
        <v>0</v>
      </c>
      <c r="DJ36" s="103" cm="1">
        <f t="array" aca="1" ref="DJ36" ca="1">SUM(INDIRECT(ADDRESS(expenses_min_row, COLUMN()) &amp; ":" &amp; ADDRESS(expenses_max_row, COLUMN())))</f>
        <v>0</v>
      </c>
      <c r="DK36" s="103" cm="1">
        <f t="array" aca="1" ref="DK36" ca="1">SUM(INDIRECT(ADDRESS(expenses_min_row, COLUMN()) &amp; ":" &amp; ADDRESS(expenses_max_row, COLUMN())))</f>
        <v>0</v>
      </c>
      <c r="DM36" s="103" cm="1">
        <f t="array" aca="1" ref="DM36" ca="1">SUM(INDIRECT(ADDRESS(expenses_min_row, COLUMN()) &amp; ":" &amp; ADDRESS(expenses_max_row, COLUMN())))</f>
        <v>0</v>
      </c>
      <c r="DN36" s="103" cm="1">
        <f t="array" aca="1" ref="DN36" ca="1">SUM(INDIRECT(ADDRESS(expenses_min_row, COLUMN()) &amp; ":" &amp; ADDRESS(expenses_max_row, COLUMN())))</f>
        <v>0</v>
      </c>
      <c r="DO36" s="103" cm="1">
        <f t="array" aca="1" ref="DO36" ca="1">SUM(INDIRECT(ADDRESS(expenses_min_row, COLUMN()) &amp; ":" &amp; ADDRESS(expenses_max_row, COLUMN())))</f>
        <v>0</v>
      </c>
      <c r="DP36" s="103" cm="1">
        <f t="array" aca="1" ref="DP36" ca="1">SUM(INDIRECT(ADDRESS(expenses_min_row, COLUMN()) &amp; ":" &amp; ADDRESS(expenses_max_row, COLUMN())))</f>
        <v>0</v>
      </c>
      <c r="DQ36" s="103" cm="1">
        <f t="array" aca="1" ref="DQ36" ca="1">SUM(INDIRECT(ADDRESS(expenses_min_row, COLUMN()) &amp; ":" &amp; ADDRESS(expenses_max_row, COLUMN())))</f>
        <v>0</v>
      </c>
      <c r="DR36" s="103" cm="1">
        <f t="array" aca="1" ref="DR36" ca="1">SUM(INDIRECT(ADDRESS(expenses_min_row, COLUMN()) &amp; ":" &amp; ADDRESS(expenses_max_row, COLUMN())))</f>
        <v>0</v>
      </c>
      <c r="DS36" s="103" cm="1">
        <f t="array" aca="1" ref="DS36" ca="1">SUM(INDIRECT(ADDRESS(expenses_min_row, COLUMN()) &amp; ":" &amp; ADDRESS(expenses_max_row, COLUMN())))</f>
        <v>0</v>
      </c>
      <c r="DT36" s="103" cm="1">
        <f t="array" aca="1" ref="DT36" ca="1">SUM(INDIRECT(ADDRESS(expenses_min_row, COLUMN()) &amp; ":" &amp; ADDRESS(expenses_max_row, COLUMN())))</f>
        <v>0</v>
      </c>
      <c r="DU36" s="103" cm="1">
        <f t="array" aca="1" ref="DU36" ca="1">SUM(INDIRECT(ADDRESS(expenses_min_row, COLUMN()) &amp; ":" &amp; ADDRESS(expenses_max_row, COLUMN())))</f>
        <v>0</v>
      </c>
      <c r="DV36" s="103" cm="1">
        <f t="array" aca="1" ref="DV36" ca="1">SUM(INDIRECT(ADDRESS(expenses_min_row, COLUMN()) &amp; ":" &amp; ADDRESS(expenses_max_row, COLUMN())))</f>
        <v>0</v>
      </c>
      <c r="DW36" s="103" cm="1">
        <f t="array" aca="1" ref="DW36" ca="1">SUM(INDIRECT(ADDRESS(expenses_min_row, COLUMN()) &amp; ":" &amp; ADDRESS(expenses_max_row, COLUMN())))</f>
        <v>0</v>
      </c>
      <c r="DX36" s="103" cm="1">
        <f t="array" aca="1" ref="DX36" ca="1">SUM(INDIRECT(ADDRESS(expenses_min_row, COLUMN()) &amp; ":" &amp; ADDRESS(expenses_max_row, COLUMN())))</f>
        <v>0</v>
      </c>
      <c r="DY36" s="103" cm="1">
        <f t="array" aca="1" ref="DY36" ca="1">SUM(INDIRECT(ADDRESS(expenses_min_row, COLUMN()) &amp; ":" &amp; ADDRESS(expenses_max_row, COLUMN())))</f>
        <v>0</v>
      </c>
      <c r="EA36" s="103" cm="1">
        <f t="array" aca="1" ref="EA36" ca="1">SUM(INDIRECT(ADDRESS(expenses_min_row, COLUMN()) &amp; ":" &amp; ADDRESS(expenses_max_row, COLUMN())))</f>
        <v>0</v>
      </c>
      <c r="EB36" s="103" cm="1">
        <f t="array" aca="1" ref="EB36" ca="1">SUM(INDIRECT(ADDRESS(expenses_min_row, COLUMN()) &amp; ":" &amp; ADDRESS(expenses_max_row, COLUMN())))</f>
        <v>0</v>
      </c>
      <c r="EC36" s="103" cm="1">
        <f t="array" aca="1" ref="EC36" ca="1">SUM(INDIRECT(ADDRESS(expenses_min_row, COLUMN()) &amp; ":" &amp; ADDRESS(expenses_max_row, COLUMN())))</f>
        <v>0</v>
      </c>
      <c r="ED36" s="103" cm="1">
        <f t="array" aca="1" ref="ED36" ca="1">SUM(INDIRECT(ADDRESS(expenses_min_row, COLUMN()) &amp; ":" &amp; ADDRESS(expenses_max_row, COLUMN())))</f>
        <v>0</v>
      </c>
      <c r="EE36" s="103" cm="1">
        <f t="array" aca="1" ref="EE36" ca="1">SUM(INDIRECT(ADDRESS(expenses_min_row, COLUMN()) &amp; ":" &amp; ADDRESS(expenses_max_row, COLUMN())))</f>
        <v>0</v>
      </c>
      <c r="EF36" s="103" cm="1">
        <f t="array" aca="1" ref="EF36" ca="1">SUM(INDIRECT(ADDRESS(expenses_min_row, COLUMN()) &amp; ":" &amp; ADDRESS(expenses_max_row, COLUMN())))</f>
        <v>0</v>
      </c>
      <c r="EG36" s="103" cm="1">
        <f t="array" aca="1" ref="EG36" ca="1">SUM(INDIRECT(ADDRESS(expenses_min_row, COLUMN()) &amp; ":" &amp; ADDRESS(expenses_max_row, COLUMN())))</f>
        <v>0</v>
      </c>
      <c r="EH36" s="103" cm="1">
        <f t="array" aca="1" ref="EH36" ca="1">SUM(INDIRECT(ADDRESS(expenses_min_row, COLUMN()) &amp; ":" &amp; ADDRESS(expenses_max_row, COLUMN())))</f>
        <v>0</v>
      </c>
      <c r="EI36" s="103" cm="1">
        <f t="array" aca="1" ref="EI36" ca="1">SUM(INDIRECT(ADDRESS(expenses_min_row, COLUMN()) &amp; ":" &amp; ADDRESS(expenses_max_row, COLUMN())))</f>
        <v>0</v>
      </c>
      <c r="EJ36" s="103" cm="1">
        <f t="array" aca="1" ref="EJ36" ca="1">SUM(INDIRECT(ADDRESS(expenses_min_row, COLUMN()) &amp; ":" &amp; ADDRESS(expenses_max_row, COLUMN())))</f>
        <v>0</v>
      </c>
      <c r="EK36" s="103" cm="1">
        <f t="array" aca="1" ref="EK36" ca="1">SUM(INDIRECT(ADDRESS(expenses_min_row, COLUMN()) &amp; ":" &amp; ADDRESS(expenses_max_row, COLUMN())))</f>
        <v>0</v>
      </c>
      <c r="EL36" s="103" cm="1">
        <f t="array" aca="1" ref="EL36" ca="1">SUM(INDIRECT(ADDRESS(expenses_min_row, COLUMN()) &amp; ":" &amp; ADDRESS(expenses_max_row, COLUMN())))</f>
        <v>0</v>
      </c>
      <c r="EM36" s="103" cm="1">
        <f t="array" aca="1" ref="EM36" ca="1">SUM(INDIRECT(ADDRESS(expenses_min_row, COLUMN()) &amp; ":" &amp; ADDRESS(expenses_max_row, COLUMN())))</f>
        <v>0</v>
      </c>
      <c r="EO36" s="103" cm="1">
        <f t="array" aca="1" ref="EO36" ca="1">SUM(INDIRECT(ADDRESS(expenses_min_row, COLUMN()) &amp; ":" &amp; ADDRESS(expenses_max_row, COLUMN())))</f>
        <v>0</v>
      </c>
      <c r="EP36" s="103" cm="1">
        <f t="array" aca="1" ref="EP36" ca="1">SUM(INDIRECT(ADDRESS(expenses_min_row, COLUMN()) &amp; ":" &amp; ADDRESS(expenses_max_row, COLUMN())))</f>
        <v>0</v>
      </c>
      <c r="EQ36" s="103" cm="1">
        <f t="array" aca="1" ref="EQ36" ca="1">SUM(INDIRECT(ADDRESS(expenses_min_row, COLUMN()) &amp; ":" &amp; ADDRESS(expenses_max_row, COLUMN())))</f>
        <v>0</v>
      </c>
      <c r="ER36" s="103" cm="1">
        <f t="array" aca="1" ref="ER36" ca="1">SUM(INDIRECT(ADDRESS(expenses_min_row, COLUMN()) &amp; ":" &amp; ADDRESS(expenses_max_row, COLUMN())))</f>
        <v>0</v>
      </c>
      <c r="ES36" s="103" cm="1">
        <f t="array" aca="1" ref="ES36" ca="1">SUM(INDIRECT(ADDRESS(expenses_min_row, COLUMN()) &amp; ":" &amp; ADDRESS(expenses_max_row, COLUMN())))</f>
        <v>0</v>
      </c>
      <c r="ET36" s="103" cm="1">
        <f t="array" aca="1" ref="ET36" ca="1">SUM(INDIRECT(ADDRESS(expenses_min_row, COLUMN()) &amp; ":" &amp; ADDRESS(expenses_max_row, COLUMN())))</f>
        <v>0</v>
      </c>
      <c r="EU36" s="103" cm="1">
        <f t="array" aca="1" ref="EU36" ca="1">SUM(INDIRECT(ADDRESS(expenses_min_row, COLUMN()) &amp; ":" &amp; ADDRESS(expenses_max_row, COLUMN())))</f>
        <v>0</v>
      </c>
      <c r="EV36" s="103" cm="1">
        <f t="array" aca="1" ref="EV36" ca="1">SUM(INDIRECT(ADDRESS(expenses_min_row, COLUMN()) &amp; ":" &amp; ADDRESS(expenses_max_row, COLUMN())))</f>
        <v>0</v>
      </c>
      <c r="EW36" s="103" cm="1">
        <f t="array" aca="1" ref="EW36" ca="1">SUM(INDIRECT(ADDRESS(expenses_min_row, COLUMN()) &amp; ":" &amp; ADDRESS(expenses_max_row, COLUMN())))</f>
        <v>0</v>
      </c>
      <c r="EX36" s="103" cm="1">
        <f t="array" aca="1" ref="EX36" ca="1">SUM(INDIRECT(ADDRESS(expenses_min_row, COLUMN()) &amp; ":" &amp; ADDRESS(expenses_max_row, COLUMN())))</f>
        <v>0</v>
      </c>
      <c r="EY36" s="103" cm="1">
        <f t="array" aca="1" ref="EY36" ca="1">SUM(INDIRECT(ADDRESS(expenses_min_row, COLUMN()) &amp; ":" &amp; ADDRESS(expenses_max_row, COLUMN())))</f>
        <v>0</v>
      </c>
      <c r="EZ36" s="103" cm="1">
        <f t="array" aca="1" ref="EZ36" ca="1">SUM(INDIRECT(ADDRESS(expenses_min_row, COLUMN()) &amp; ":" &amp; ADDRESS(expenses_max_row, COLUMN())))</f>
        <v>0</v>
      </c>
      <c r="FA36" s="103" cm="1">
        <f t="array" aca="1" ref="FA36" ca="1">SUM(INDIRECT(ADDRESS(expenses_min_row, COLUMN()) &amp; ":" &amp; ADDRESS(expenses_max_row, COLUMN())))</f>
        <v>0</v>
      </c>
    </row>
    <row r="38" spans="3:157" x14ac:dyDescent="0.25">
      <c r="C38" s="11" t="s">
        <v>13</v>
      </c>
      <c r="E38" s="19">
        <f>DATE(E$5, 1, 1)</f>
        <v>45658</v>
      </c>
      <c r="F38" s="19">
        <f>DATE(E$5, 2, 1)</f>
        <v>45689</v>
      </c>
      <c r="G38" s="19">
        <f>DATE(E$5, 3, 1)</f>
        <v>45717</v>
      </c>
      <c r="H38" s="19">
        <f>DATE(E$5, 4, 1)</f>
        <v>45748</v>
      </c>
      <c r="I38" s="19">
        <f>DATE(E$5, 5, 1)</f>
        <v>45778</v>
      </c>
      <c r="J38" s="19">
        <f>DATE(E$5, 6, 1)</f>
        <v>45809</v>
      </c>
      <c r="K38" s="19">
        <f>DATE(E$5, 7, 1)</f>
        <v>45839</v>
      </c>
      <c r="L38" s="19">
        <f>DATE(E$5, 8, 1)</f>
        <v>45870</v>
      </c>
      <c r="M38" s="19">
        <f>DATE(E$5, 9, 1)</f>
        <v>45901</v>
      </c>
      <c r="N38" s="19">
        <f>DATE(E$5, 10, 1)</f>
        <v>45931</v>
      </c>
      <c r="O38" s="19">
        <f>DATE(E$5, 11, 1)</f>
        <v>45962</v>
      </c>
      <c r="P38" s="19">
        <f>DATE(E$5, 12, 1)</f>
        <v>45992</v>
      </c>
      <c r="Q38" s="20">
        <f>E$5</f>
        <v>2025</v>
      </c>
      <c r="S38" s="19">
        <f>DATE(S$5, 1, 1)</f>
        <v>46023</v>
      </c>
      <c r="T38" s="19">
        <f>DATE(S$5, 2, 1)</f>
        <v>46054</v>
      </c>
      <c r="U38" s="19">
        <f>DATE(S$5, 3, 1)</f>
        <v>46082</v>
      </c>
      <c r="V38" s="19">
        <f>DATE(S$5, 4, 1)</f>
        <v>46113</v>
      </c>
      <c r="W38" s="19">
        <f>DATE(S$5, 5, 1)</f>
        <v>46143</v>
      </c>
      <c r="X38" s="19">
        <f>DATE(S$5, 6, 1)</f>
        <v>46174</v>
      </c>
      <c r="Y38" s="19">
        <f>DATE(S$5, 7, 1)</f>
        <v>46204</v>
      </c>
      <c r="Z38" s="19">
        <f>DATE(S$5, 8, 1)</f>
        <v>46235</v>
      </c>
      <c r="AA38" s="19">
        <f>DATE(S$5, 9, 1)</f>
        <v>46266</v>
      </c>
      <c r="AB38" s="19">
        <f>DATE(S$5, 10, 1)</f>
        <v>46296</v>
      </c>
      <c r="AC38" s="19">
        <f>DATE(S$5, 11, 1)</f>
        <v>46327</v>
      </c>
      <c r="AD38" s="19">
        <f>DATE(S$5, 12, 1)</f>
        <v>46357</v>
      </c>
      <c r="AE38" s="20">
        <f>S$5</f>
        <v>2026</v>
      </c>
      <c r="AG38" s="19">
        <f t="shared" ref="AG38" si="386">DATE(AG$5, 1, 1)</f>
        <v>46388</v>
      </c>
      <c r="AH38" s="19">
        <f t="shared" ref="AH38" si="387">DATE(AG$5, 2, 1)</f>
        <v>46419</v>
      </c>
      <c r="AI38" s="19">
        <f t="shared" ref="AI38" si="388">DATE(AG$5, 3, 1)</f>
        <v>46447</v>
      </c>
      <c r="AJ38" s="19">
        <f t="shared" ref="AJ38" si="389">DATE(AG$5, 4, 1)</f>
        <v>46478</v>
      </c>
      <c r="AK38" s="19">
        <f t="shared" ref="AK38" si="390">DATE(AG$5, 5, 1)</f>
        <v>46508</v>
      </c>
      <c r="AL38" s="19">
        <f t="shared" ref="AL38" si="391">DATE(AG$5, 6, 1)</f>
        <v>46539</v>
      </c>
      <c r="AM38" s="19">
        <f t="shared" ref="AM38" si="392">DATE(AG$5, 7, 1)</f>
        <v>46569</v>
      </c>
      <c r="AN38" s="19">
        <f t="shared" ref="AN38" si="393">DATE(AG$5, 8, 1)</f>
        <v>46600</v>
      </c>
      <c r="AO38" s="19">
        <f t="shared" ref="AO38" si="394">DATE(AG$5, 9, 1)</f>
        <v>46631</v>
      </c>
      <c r="AP38" s="19">
        <f t="shared" ref="AP38" si="395">DATE(AG$5, 10, 1)</f>
        <v>46661</v>
      </c>
      <c r="AQ38" s="19">
        <f t="shared" ref="AQ38" si="396">DATE(AG$5, 11, 1)</f>
        <v>46692</v>
      </c>
      <c r="AR38" s="19">
        <f t="shared" ref="AR38" si="397">DATE(AG$5, 12, 1)</f>
        <v>46722</v>
      </c>
      <c r="AS38" s="20">
        <f t="shared" ref="AS38" si="398">AG$5</f>
        <v>2027</v>
      </c>
      <c r="AU38" s="19">
        <f t="shared" ref="AU38" si="399">DATE(AU$5, 1, 1)</f>
        <v>46753</v>
      </c>
      <c r="AV38" s="19">
        <f t="shared" ref="AV38" si="400">DATE(AU$5, 2, 1)</f>
        <v>46784</v>
      </c>
      <c r="AW38" s="19">
        <f t="shared" ref="AW38" si="401">DATE(AU$5, 3, 1)</f>
        <v>46813</v>
      </c>
      <c r="AX38" s="19">
        <f t="shared" ref="AX38" si="402">DATE(AU$5, 4, 1)</f>
        <v>46844</v>
      </c>
      <c r="AY38" s="19">
        <f t="shared" ref="AY38" si="403">DATE(AU$5, 5, 1)</f>
        <v>46874</v>
      </c>
      <c r="AZ38" s="19">
        <f t="shared" ref="AZ38" si="404">DATE(AU$5, 6, 1)</f>
        <v>46905</v>
      </c>
      <c r="BA38" s="19">
        <f t="shared" ref="BA38" si="405">DATE(AU$5, 7, 1)</f>
        <v>46935</v>
      </c>
      <c r="BB38" s="19">
        <f t="shared" ref="BB38" si="406">DATE(AU$5, 8, 1)</f>
        <v>46966</v>
      </c>
      <c r="BC38" s="19">
        <f t="shared" ref="BC38" si="407">DATE(AU$5, 9, 1)</f>
        <v>46997</v>
      </c>
      <c r="BD38" s="19">
        <f t="shared" ref="BD38" si="408">DATE(AU$5, 10, 1)</f>
        <v>47027</v>
      </c>
      <c r="BE38" s="19">
        <f t="shared" ref="BE38" si="409">DATE(AU$5, 11, 1)</f>
        <v>47058</v>
      </c>
      <c r="BF38" s="19">
        <f t="shared" ref="BF38" si="410">DATE(AU$5, 12, 1)</f>
        <v>47088</v>
      </c>
      <c r="BG38" s="20">
        <f t="shared" ref="BG38" si="411">AU$5</f>
        <v>2028</v>
      </c>
      <c r="BI38" s="19">
        <f t="shared" ref="BI38" si="412">DATE(BI$5, 1, 1)</f>
        <v>47119</v>
      </c>
      <c r="BJ38" s="19">
        <f t="shared" ref="BJ38" si="413">DATE(BI$5, 2, 1)</f>
        <v>47150</v>
      </c>
      <c r="BK38" s="19">
        <f t="shared" ref="BK38" si="414">DATE(BI$5, 3, 1)</f>
        <v>47178</v>
      </c>
      <c r="BL38" s="19">
        <f t="shared" ref="BL38" si="415">DATE(BI$5, 4, 1)</f>
        <v>47209</v>
      </c>
      <c r="BM38" s="19">
        <f t="shared" ref="BM38" si="416">DATE(BI$5, 5, 1)</f>
        <v>47239</v>
      </c>
      <c r="BN38" s="19">
        <f t="shared" ref="BN38" si="417">DATE(BI$5, 6, 1)</f>
        <v>47270</v>
      </c>
      <c r="BO38" s="19">
        <f t="shared" ref="BO38" si="418">DATE(BI$5, 7, 1)</f>
        <v>47300</v>
      </c>
      <c r="BP38" s="19">
        <f t="shared" ref="BP38" si="419">DATE(BI$5, 8, 1)</f>
        <v>47331</v>
      </c>
      <c r="BQ38" s="19">
        <f t="shared" ref="BQ38" si="420">DATE(BI$5, 9, 1)</f>
        <v>47362</v>
      </c>
      <c r="BR38" s="19">
        <f t="shared" ref="BR38" si="421">DATE(BI$5, 10, 1)</f>
        <v>47392</v>
      </c>
      <c r="BS38" s="19">
        <f t="shared" ref="BS38" si="422">DATE(BI$5, 11, 1)</f>
        <v>47423</v>
      </c>
      <c r="BT38" s="19">
        <f t="shared" ref="BT38" si="423">DATE(BI$5, 12, 1)</f>
        <v>47453</v>
      </c>
      <c r="BU38" s="20">
        <f t="shared" ref="BU38" si="424">BI$5</f>
        <v>2029</v>
      </c>
      <c r="BW38" s="19">
        <f t="shared" ref="BW38:EA38" si="425">DATE(BW$5, 1, 1)</f>
        <v>47484</v>
      </c>
      <c r="BX38" s="19">
        <f t="shared" ref="BX38" si="426">DATE(BW$5, 2, 1)</f>
        <v>47515</v>
      </c>
      <c r="BY38" s="19">
        <f t="shared" ref="BY38" si="427">DATE(BW$5, 3, 1)</f>
        <v>47543</v>
      </c>
      <c r="BZ38" s="19">
        <f t="shared" ref="BZ38" si="428">DATE(BW$5, 4, 1)</f>
        <v>47574</v>
      </c>
      <c r="CA38" s="19">
        <f t="shared" ref="CA38" si="429">DATE(BW$5, 5, 1)</f>
        <v>47604</v>
      </c>
      <c r="CB38" s="19">
        <f t="shared" ref="CB38" si="430">DATE(BW$5, 6, 1)</f>
        <v>47635</v>
      </c>
      <c r="CC38" s="19">
        <f t="shared" ref="CC38" si="431">DATE(BW$5, 7, 1)</f>
        <v>47665</v>
      </c>
      <c r="CD38" s="19">
        <f t="shared" ref="CD38" si="432">DATE(BW$5, 8, 1)</f>
        <v>47696</v>
      </c>
      <c r="CE38" s="19">
        <f t="shared" ref="CE38" si="433">DATE(BW$5, 9, 1)</f>
        <v>47727</v>
      </c>
      <c r="CF38" s="19">
        <f t="shared" ref="CF38" si="434">DATE(BW$5, 10, 1)</f>
        <v>47757</v>
      </c>
      <c r="CG38" s="19">
        <f t="shared" ref="CG38" si="435">DATE(BW$5, 11, 1)</f>
        <v>47788</v>
      </c>
      <c r="CH38" s="19">
        <f t="shared" ref="CH38" si="436">DATE(BW$5, 12, 1)</f>
        <v>47818</v>
      </c>
      <c r="CI38" s="20">
        <f t="shared" ref="CI38" si="437">BW$5</f>
        <v>2030</v>
      </c>
      <c r="CK38" s="19">
        <f t="shared" si="425"/>
        <v>47849</v>
      </c>
      <c r="CL38" s="19">
        <f t="shared" ref="CL38" si="438">DATE(CK$5, 2, 1)</f>
        <v>47880</v>
      </c>
      <c r="CM38" s="19">
        <f t="shared" ref="CM38" si="439">DATE(CK$5, 3, 1)</f>
        <v>47908</v>
      </c>
      <c r="CN38" s="19">
        <f t="shared" ref="CN38" si="440">DATE(CK$5, 4, 1)</f>
        <v>47939</v>
      </c>
      <c r="CO38" s="19">
        <f t="shared" ref="CO38" si="441">DATE(CK$5, 5, 1)</f>
        <v>47969</v>
      </c>
      <c r="CP38" s="19">
        <f t="shared" ref="CP38" si="442">DATE(CK$5, 6, 1)</f>
        <v>48000</v>
      </c>
      <c r="CQ38" s="19">
        <f t="shared" ref="CQ38" si="443">DATE(CK$5, 7, 1)</f>
        <v>48030</v>
      </c>
      <c r="CR38" s="19">
        <f t="shared" ref="CR38" si="444">DATE(CK$5, 8, 1)</f>
        <v>48061</v>
      </c>
      <c r="CS38" s="19">
        <f t="shared" ref="CS38" si="445">DATE(CK$5, 9, 1)</f>
        <v>48092</v>
      </c>
      <c r="CT38" s="19">
        <f t="shared" ref="CT38" si="446">DATE(CK$5, 10, 1)</f>
        <v>48122</v>
      </c>
      <c r="CU38" s="19">
        <f t="shared" ref="CU38" si="447">DATE(CK$5, 11, 1)</f>
        <v>48153</v>
      </c>
      <c r="CV38" s="19">
        <f t="shared" ref="CV38" si="448">DATE(CK$5, 12, 1)</f>
        <v>48183</v>
      </c>
      <c r="CW38" s="20">
        <f t="shared" ref="CW38" si="449">CK$5</f>
        <v>2031</v>
      </c>
      <c r="CY38" s="19">
        <f t="shared" si="425"/>
        <v>48214</v>
      </c>
      <c r="CZ38" s="19">
        <f t="shared" ref="CZ38" si="450">DATE(CY$5, 2, 1)</f>
        <v>48245</v>
      </c>
      <c r="DA38" s="19">
        <f t="shared" ref="DA38" si="451">DATE(CY$5, 3, 1)</f>
        <v>48274</v>
      </c>
      <c r="DB38" s="19">
        <f t="shared" ref="DB38" si="452">DATE(CY$5, 4, 1)</f>
        <v>48305</v>
      </c>
      <c r="DC38" s="19">
        <f t="shared" ref="DC38" si="453">DATE(CY$5, 5, 1)</f>
        <v>48335</v>
      </c>
      <c r="DD38" s="19">
        <f t="shared" ref="DD38" si="454">DATE(CY$5, 6, 1)</f>
        <v>48366</v>
      </c>
      <c r="DE38" s="19">
        <f t="shared" ref="DE38" si="455">DATE(CY$5, 7, 1)</f>
        <v>48396</v>
      </c>
      <c r="DF38" s="19">
        <f t="shared" ref="DF38" si="456">DATE(CY$5, 8, 1)</f>
        <v>48427</v>
      </c>
      <c r="DG38" s="19">
        <f t="shared" ref="DG38" si="457">DATE(CY$5, 9, 1)</f>
        <v>48458</v>
      </c>
      <c r="DH38" s="19">
        <f t="shared" ref="DH38" si="458">DATE(CY$5, 10, 1)</f>
        <v>48488</v>
      </c>
      <c r="DI38" s="19">
        <f t="shared" ref="DI38" si="459">DATE(CY$5, 11, 1)</f>
        <v>48519</v>
      </c>
      <c r="DJ38" s="19">
        <f t="shared" ref="DJ38" si="460">DATE(CY$5, 12, 1)</f>
        <v>48549</v>
      </c>
      <c r="DK38" s="20">
        <f t="shared" ref="DK38" si="461">CY$5</f>
        <v>2032</v>
      </c>
      <c r="DM38" s="19">
        <f t="shared" si="425"/>
        <v>48580</v>
      </c>
      <c r="DN38" s="19">
        <f t="shared" ref="DN38" si="462">DATE(DM$5, 2, 1)</f>
        <v>48611</v>
      </c>
      <c r="DO38" s="19">
        <f t="shared" ref="DO38" si="463">DATE(DM$5, 3, 1)</f>
        <v>48639</v>
      </c>
      <c r="DP38" s="19">
        <f t="shared" ref="DP38" si="464">DATE(DM$5, 4, 1)</f>
        <v>48670</v>
      </c>
      <c r="DQ38" s="19">
        <f t="shared" ref="DQ38" si="465">DATE(DM$5, 5, 1)</f>
        <v>48700</v>
      </c>
      <c r="DR38" s="19">
        <f t="shared" ref="DR38" si="466">DATE(DM$5, 6, 1)</f>
        <v>48731</v>
      </c>
      <c r="DS38" s="19">
        <f t="shared" ref="DS38" si="467">DATE(DM$5, 7, 1)</f>
        <v>48761</v>
      </c>
      <c r="DT38" s="19">
        <f t="shared" ref="DT38" si="468">DATE(DM$5, 8, 1)</f>
        <v>48792</v>
      </c>
      <c r="DU38" s="19">
        <f t="shared" ref="DU38" si="469">DATE(DM$5, 9, 1)</f>
        <v>48823</v>
      </c>
      <c r="DV38" s="19">
        <f t="shared" ref="DV38" si="470">DATE(DM$5, 10, 1)</f>
        <v>48853</v>
      </c>
      <c r="DW38" s="19">
        <f t="shared" ref="DW38" si="471">DATE(DM$5, 11, 1)</f>
        <v>48884</v>
      </c>
      <c r="DX38" s="19">
        <f t="shared" ref="DX38" si="472">DATE(DM$5, 12, 1)</f>
        <v>48914</v>
      </c>
      <c r="DY38" s="20">
        <f t="shared" ref="DY38" si="473">DM$5</f>
        <v>2033</v>
      </c>
      <c r="EA38" s="19">
        <f t="shared" si="425"/>
        <v>48945</v>
      </c>
      <c r="EB38" s="19">
        <f t="shared" ref="EB38" si="474">DATE(EA$5, 2, 1)</f>
        <v>48976</v>
      </c>
      <c r="EC38" s="19">
        <f t="shared" ref="EC38" si="475">DATE(EA$5, 3, 1)</f>
        <v>49004</v>
      </c>
      <c r="ED38" s="19">
        <f t="shared" ref="ED38" si="476">DATE(EA$5, 4, 1)</f>
        <v>49035</v>
      </c>
      <c r="EE38" s="19">
        <f t="shared" ref="EE38" si="477">DATE(EA$5, 5, 1)</f>
        <v>49065</v>
      </c>
      <c r="EF38" s="19">
        <f t="shared" ref="EF38" si="478">DATE(EA$5, 6, 1)</f>
        <v>49096</v>
      </c>
      <c r="EG38" s="19">
        <f t="shared" ref="EG38" si="479">DATE(EA$5, 7, 1)</f>
        <v>49126</v>
      </c>
      <c r="EH38" s="19">
        <f t="shared" ref="EH38" si="480">DATE(EA$5, 8, 1)</f>
        <v>49157</v>
      </c>
      <c r="EI38" s="19">
        <f t="shared" ref="EI38" si="481">DATE(EA$5, 9, 1)</f>
        <v>49188</v>
      </c>
      <c r="EJ38" s="19">
        <f t="shared" ref="EJ38" si="482">DATE(EA$5, 10, 1)</f>
        <v>49218</v>
      </c>
      <c r="EK38" s="19">
        <f t="shared" ref="EK38" si="483">DATE(EA$5, 11, 1)</f>
        <v>49249</v>
      </c>
      <c r="EL38" s="19">
        <f t="shared" ref="EL38" si="484">DATE(EA$5, 12, 1)</f>
        <v>49279</v>
      </c>
      <c r="EM38" s="20">
        <f t="shared" ref="EM38" si="485">EA$5</f>
        <v>2034</v>
      </c>
      <c r="EO38" s="19">
        <f t="shared" ref="EO38" si="486">DATE(EO$5, 1, 1)</f>
        <v>49310</v>
      </c>
      <c r="EP38" s="19">
        <f t="shared" ref="EP38" si="487">DATE(EO$5, 2, 1)</f>
        <v>49341</v>
      </c>
      <c r="EQ38" s="19">
        <f t="shared" ref="EQ38" si="488">DATE(EO$5, 3, 1)</f>
        <v>49369</v>
      </c>
      <c r="ER38" s="19">
        <f t="shared" ref="ER38" si="489">DATE(EO$5, 4, 1)</f>
        <v>49400</v>
      </c>
      <c r="ES38" s="19">
        <f t="shared" ref="ES38" si="490">DATE(EO$5, 5, 1)</f>
        <v>49430</v>
      </c>
      <c r="ET38" s="19">
        <f t="shared" ref="ET38" si="491">DATE(EO$5, 6, 1)</f>
        <v>49461</v>
      </c>
      <c r="EU38" s="19">
        <f t="shared" ref="EU38" si="492">DATE(EO$5, 7, 1)</f>
        <v>49491</v>
      </c>
      <c r="EV38" s="19">
        <f t="shared" ref="EV38" si="493">DATE(EO$5, 8, 1)</f>
        <v>49522</v>
      </c>
      <c r="EW38" s="19">
        <f t="shared" ref="EW38" si="494">DATE(EO$5, 9, 1)</f>
        <v>49553</v>
      </c>
      <c r="EX38" s="19">
        <f t="shared" ref="EX38" si="495">DATE(EO$5, 10, 1)</f>
        <v>49583</v>
      </c>
      <c r="EY38" s="19">
        <f t="shared" ref="EY38" si="496">DATE(EO$5, 11, 1)</f>
        <v>49614</v>
      </c>
      <c r="EZ38" s="19">
        <f t="shared" ref="EZ38" si="497">DATE(EO$5, 12, 1)</f>
        <v>49644</v>
      </c>
      <c r="FA38" s="20">
        <f t="shared" ref="FA38" si="498">EO$5</f>
        <v>2035</v>
      </c>
    </row>
    <row r="39" spans="3:157" x14ac:dyDescent="0.25">
      <c r="C39" s="16" t="s">
        <v>14</v>
      </c>
      <c r="E39" s="104">
        <v>1000</v>
      </c>
      <c r="F39" s="104">
        <v>1000</v>
      </c>
      <c r="G39" s="104">
        <v>1000</v>
      </c>
      <c r="H39" s="104"/>
      <c r="I39" s="104"/>
      <c r="J39" s="104"/>
      <c r="K39" s="104"/>
      <c r="L39" s="104"/>
      <c r="M39" s="104"/>
      <c r="N39" s="104"/>
      <c r="O39" s="104"/>
      <c r="P39" s="104"/>
      <c r="Q39" s="105">
        <f>SUM(E39:P39)</f>
        <v>3000</v>
      </c>
      <c r="S39" s="104"/>
      <c r="T39" s="104"/>
      <c r="U39" s="104"/>
      <c r="V39" s="104"/>
      <c r="W39" s="104"/>
      <c r="X39" s="104"/>
      <c r="Y39" s="104"/>
      <c r="Z39" s="104"/>
      <c r="AA39" s="104"/>
      <c r="AB39" s="104"/>
      <c r="AC39" s="104"/>
      <c r="AD39" s="104"/>
      <c r="AE39" s="105">
        <f>SUM(S39:AD39)</f>
        <v>0</v>
      </c>
      <c r="AG39" s="104"/>
      <c r="AH39" s="104"/>
      <c r="AI39" s="104"/>
      <c r="AJ39" s="104"/>
      <c r="AK39" s="104"/>
      <c r="AL39" s="104"/>
      <c r="AM39" s="104"/>
      <c r="AN39" s="104"/>
      <c r="AO39" s="104"/>
      <c r="AP39" s="104"/>
      <c r="AQ39" s="104"/>
      <c r="AR39" s="104"/>
      <c r="AS39" s="105">
        <f t="shared" ref="AS39:AS48" si="499">SUM(AG39:AR39)</f>
        <v>0</v>
      </c>
      <c r="AU39" s="104"/>
      <c r="AV39" s="104"/>
      <c r="AW39" s="104"/>
      <c r="AX39" s="104"/>
      <c r="AY39" s="104"/>
      <c r="AZ39" s="104"/>
      <c r="BA39" s="104"/>
      <c r="BB39" s="104"/>
      <c r="BC39" s="104"/>
      <c r="BD39" s="104"/>
      <c r="BE39" s="104"/>
      <c r="BF39" s="104"/>
      <c r="BG39" s="105">
        <f t="shared" ref="BG39:BG48" si="500">SUM(AU39:BF39)</f>
        <v>0</v>
      </c>
      <c r="BI39" s="104"/>
      <c r="BJ39" s="104"/>
      <c r="BK39" s="104"/>
      <c r="BL39" s="104"/>
      <c r="BM39" s="104"/>
      <c r="BN39" s="104"/>
      <c r="BO39" s="104"/>
      <c r="BP39" s="104"/>
      <c r="BQ39" s="104"/>
      <c r="BR39" s="104"/>
      <c r="BS39" s="104"/>
      <c r="BT39" s="104"/>
      <c r="BU39" s="105">
        <f t="shared" ref="BU39:BU48" si="501">SUM(BI39:BT39)</f>
        <v>0</v>
      </c>
      <c r="BW39" s="104"/>
      <c r="BX39" s="104"/>
      <c r="BY39" s="104"/>
      <c r="BZ39" s="104"/>
      <c r="CA39" s="104"/>
      <c r="CB39" s="104"/>
      <c r="CC39" s="104"/>
      <c r="CD39" s="104"/>
      <c r="CE39" s="104"/>
      <c r="CF39" s="104"/>
      <c r="CG39" s="104"/>
      <c r="CH39" s="104"/>
      <c r="CI39" s="105">
        <f t="shared" ref="CI39:CI48" si="502">SUM(BW39:CH39)</f>
        <v>0</v>
      </c>
      <c r="CK39" s="104"/>
      <c r="CL39" s="104"/>
      <c r="CM39" s="104"/>
      <c r="CN39" s="104"/>
      <c r="CO39" s="104"/>
      <c r="CP39" s="104"/>
      <c r="CQ39" s="104"/>
      <c r="CR39" s="104"/>
      <c r="CS39" s="104"/>
      <c r="CT39" s="104"/>
      <c r="CU39" s="104"/>
      <c r="CV39" s="104"/>
      <c r="CW39" s="105">
        <f t="shared" ref="CW39:CW48" si="503">SUM(CK39:CV39)</f>
        <v>0</v>
      </c>
      <c r="CY39" s="104"/>
      <c r="CZ39" s="104"/>
      <c r="DA39" s="104"/>
      <c r="DB39" s="104"/>
      <c r="DC39" s="104"/>
      <c r="DD39" s="104"/>
      <c r="DE39" s="104"/>
      <c r="DF39" s="104"/>
      <c r="DG39" s="104"/>
      <c r="DH39" s="104"/>
      <c r="DI39" s="104"/>
      <c r="DJ39" s="104"/>
      <c r="DK39" s="105">
        <f t="shared" ref="DK39:DK48" si="504">SUM(CY39:DJ39)</f>
        <v>0</v>
      </c>
      <c r="DM39" s="104"/>
      <c r="DN39" s="104"/>
      <c r="DO39" s="104"/>
      <c r="DP39" s="104"/>
      <c r="DQ39" s="104"/>
      <c r="DR39" s="104"/>
      <c r="DS39" s="104"/>
      <c r="DT39" s="104"/>
      <c r="DU39" s="104"/>
      <c r="DV39" s="104"/>
      <c r="DW39" s="104"/>
      <c r="DX39" s="104"/>
      <c r="DY39" s="105">
        <f t="shared" ref="DY39:DY48" si="505">SUM(DM39:DX39)</f>
        <v>0</v>
      </c>
      <c r="EA39" s="104"/>
      <c r="EB39" s="104"/>
      <c r="EC39" s="104"/>
      <c r="ED39" s="104"/>
      <c r="EE39" s="104"/>
      <c r="EF39" s="104"/>
      <c r="EG39" s="104"/>
      <c r="EH39" s="104"/>
      <c r="EI39" s="104"/>
      <c r="EJ39" s="104"/>
      <c r="EK39" s="104"/>
      <c r="EL39" s="104"/>
      <c r="EM39" s="105">
        <f t="shared" ref="EM39:EM48" si="506">SUM(EA39:EL39)</f>
        <v>0</v>
      </c>
      <c r="EO39" s="104"/>
      <c r="EP39" s="104"/>
      <c r="EQ39" s="104"/>
      <c r="ER39" s="104"/>
      <c r="ES39" s="104"/>
      <c r="ET39" s="104"/>
      <c r="EU39" s="104"/>
      <c r="EV39" s="104"/>
      <c r="EW39" s="104"/>
      <c r="EX39" s="104"/>
      <c r="EY39" s="104"/>
      <c r="EZ39" s="104"/>
      <c r="FA39" s="105">
        <f t="shared" ref="FA39:FA48" si="507">SUM(EO39:EZ39)</f>
        <v>0</v>
      </c>
    </row>
    <row r="40" spans="3:157" x14ac:dyDescent="0.25">
      <c r="C40" s="16" t="s">
        <v>15</v>
      </c>
      <c r="E40" s="104">
        <v>400</v>
      </c>
      <c r="F40" s="104">
        <v>400</v>
      </c>
      <c r="G40" s="104">
        <v>400</v>
      </c>
      <c r="H40" s="104">
        <v>400</v>
      </c>
      <c r="I40" s="104">
        <v>400</v>
      </c>
      <c r="J40" s="104">
        <v>400</v>
      </c>
      <c r="K40" s="104">
        <v>400</v>
      </c>
      <c r="L40" s="104">
        <v>400</v>
      </c>
      <c r="M40" s="104">
        <v>400</v>
      </c>
      <c r="N40" s="104">
        <v>400</v>
      </c>
      <c r="O40" s="104">
        <v>400</v>
      </c>
      <c r="P40" s="104">
        <v>400</v>
      </c>
      <c r="Q40" s="105">
        <f t="shared" ref="Q40:Q48" si="508">SUM(E40:P40)</f>
        <v>4800</v>
      </c>
      <c r="S40" s="104"/>
      <c r="T40" s="104"/>
      <c r="U40" s="104"/>
      <c r="V40" s="104"/>
      <c r="W40" s="104"/>
      <c r="X40" s="104"/>
      <c r="Y40" s="104"/>
      <c r="Z40" s="104"/>
      <c r="AA40" s="104"/>
      <c r="AB40" s="104"/>
      <c r="AC40" s="104"/>
      <c r="AD40" s="104"/>
      <c r="AE40" s="105">
        <f t="shared" ref="AE40:AE48" si="509">SUM(S40:AD40)</f>
        <v>0</v>
      </c>
      <c r="AG40" s="104"/>
      <c r="AH40" s="104"/>
      <c r="AI40" s="104"/>
      <c r="AJ40" s="104"/>
      <c r="AK40" s="104"/>
      <c r="AL40" s="104"/>
      <c r="AM40" s="104"/>
      <c r="AN40" s="104"/>
      <c r="AO40" s="104"/>
      <c r="AP40" s="104"/>
      <c r="AQ40" s="104"/>
      <c r="AR40" s="104"/>
      <c r="AS40" s="105">
        <f t="shared" si="499"/>
        <v>0</v>
      </c>
      <c r="AU40" s="104"/>
      <c r="AV40" s="104"/>
      <c r="AW40" s="104"/>
      <c r="AX40" s="104"/>
      <c r="AY40" s="104"/>
      <c r="AZ40" s="104"/>
      <c r="BA40" s="104"/>
      <c r="BB40" s="104"/>
      <c r="BC40" s="104"/>
      <c r="BD40" s="104"/>
      <c r="BE40" s="104"/>
      <c r="BF40" s="104"/>
      <c r="BG40" s="105">
        <f t="shared" si="500"/>
        <v>0</v>
      </c>
      <c r="BI40" s="104"/>
      <c r="BJ40" s="104"/>
      <c r="BK40" s="104"/>
      <c r="BL40" s="104"/>
      <c r="BM40" s="104"/>
      <c r="BN40" s="104"/>
      <c r="BO40" s="104"/>
      <c r="BP40" s="104"/>
      <c r="BQ40" s="104"/>
      <c r="BR40" s="104"/>
      <c r="BS40" s="104"/>
      <c r="BT40" s="104"/>
      <c r="BU40" s="105">
        <f t="shared" si="501"/>
        <v>0</v>
      </c>
      <c r="BW40" s="104"/>
      <c r="BX40" s="104"/>
      <c r="BY40" s="104"/>
      <c r="BZ40" s="104"/>
      <c r="CA40" s="104"/>
      <c r="CB40" s="104"/>
      <c r="CC40" s="104"/>
      <c r="CD40" s="104"/>
      <c r="CE40" s="104"/>
      <c r="CF40" s="104"/>
      <c r="CG40" s="104"/>
      <c r="CH40" s="104"/>
      <c r="CI40" s="105">
        <f t="shared" si="502"/>
        <v>0</v>
      </c>
      <c r="CK40" s="104"/>
      <c r="CL40" s="104"/>
      <c r="CM40" s="104"/>
      <c r="CN40" s="104"/>
      <c r="CO40" s="104"/>
      <c r="CP40" s="104"/>
      <c r="CQ40" s="104"/>
      <c r="CR40" s="104"/>
      <c r="CS40" s="104"/>
      <c r="CT40" s="104"/>
      <c r="CU40" s="104"/>
      <c r="CV40" s="104"/>
      <c r="CW40" s="105">
        <f t="shared" si="503"/>
        <v>0</v>
      </c>
      <c r="CY40" s="104"/>
      <c r="CZ40" s="104"/>
      <c r="DA40" s="104"/>
      <c r="DB40" s="104"/>
      <c r="DC40" s="104"/>
      <c r="DD40" s="104"/>
      <c r="DE40" s="104"/>
      <c r="DF40" s="104"/>
      <c r="DG40" s="104"/>
      <c r="DH40" s="104"/>
      <c r="DI40" s="104"/>
      <c r="DJ40" s="104"/>
      <c r="DK40" s="105">
        <f t="shared" si="504"/>
        <v>0</v>
      </c>
      <c r="DM40" s="104"/>
      <c r="DN40" s="104"/>
      <c r="DO40" s="104"/>
      <c r="DP40" s="104"/>
      <c r="DQ40" s="104"/>
      <c r="DR40" s="104"/>
      <c r="DS40" s="104"/>
      <c r="DT40" s="104"/>
      <c r="DU40" s="104"/>
      <c r="DV40" s="104"/>
      <c r="DW40" s="104"/>
      <c r="DX40" s="104"/>
      <c r="DY40" s="105">
        <f t="shared" si="505"/>
        <v>0</v>
      </c>
      <c r="EA40" s="104"/>
      <c r="EB40" s="104"/>
      <c r="EC40" s="104"/>
      <c r="ED40" s="104"/>
      <c r="EE40" s="104"/>
      <c r="EF40" s="104"/>
      <c r="EG40" s="104"/>
      <c r="EH40" s="104"/>
      <c r="EI40" s="104"/>
      <c r="EJ40" s="104"/>
      <c r="EK40" s="104"/>
      <c r="EL40" s="104"/>
      <c r="EM40" s="105">
        <f t="shared" si="506"/>
        <v>0</v>
      </c>
      <c r="EO40" s="104"/>
      <c r="EP40" s="104"/>
      <c r="EQ40" s="104"/>
      <c r="ER40" s="104"/>
      <c r="ES40" s="104"/>
      <c r="ET40" s="104"/>
      <c r="EU40" s="104"/>
      <c r="EV40" s="104"/>
      <c r="EW40" s="104"/>
      <c r="EX40" s="104"/>
      <c r="EY40" s="104"/>
      <c r="EZ40" s="104"/>
      <c r="FA40" s="105">
        <f t="shared" si="507"/>
        <v>0</v>
      </c>
    </row>
    <row r="41" spans="3:157" x14ac:dyDescent="0.25">
      <c r="C41" s="16" t="s">
        <v>16</v>
      </c>
      <c r="E41" s="104">
        <v>150</v>
      </c>
      <c r="F41" s="104">
        <v>150</v>
      </c>
      <c r="G41" s="104">
        <v>150</v>
      </c>
      <c r="H41" s="104">
        <v>750</v>
      </c>
      <c r="I41" s="104">
        <v>750</v>
      </c>
      <c r="J41" s="104">
        <v>750</v>
      </c>
      <c r="K41" s="104">
        <v>750</v>
      </c>
      <c r="L41" s="104">
        <v>750</v>
      </c>
      <c r="M41" s="104">
        <v>750</v>
      </c>
      <c r="N41" s="104">
        <v>750</v>
      </c>
      <c r="O41" s="104">
        <v>750</v>
      </c>
      <c r="P41" s="104">
        <v>750</v>
      </c>
      <c r="Q41" s="105">
        <f t="shared" si="508"/>
        <v>7200</v>
      </c>
      <c r="S41" s="104"/>
      <c r="T41" s="104"/>
      <c r="U41" s="104"/>
      <c r="V41" s="104"/>
      <c r="W41" s="104"/>
      <c r="X41" s="104"/>
      <c r="Y41" s="104"/>
      <c r="Z41" s="104"/>
      <c r="AA41" s="104"/>
      <c r="AB41" s="104"/>
      <c r="AC41" s="104"/>
      <c r="AD41" s="104"/>
      <c r="AE41" s="105">
        <f t="shared" si="509"/>
        <v>0</v>
      </c>
      <c r="AG41" s="104"/>
      <c r="AH41" s="104"/>
      <c r="AI41" s="104"/>
      <c r="AJ41" s="104"/>
      <c r="AK41" s="104"/>
      <c r="AL41" s="104"/>
      <c r="AM41" s="104"/>
      <c r="AN41" s="104"/>
      <c r="AO41" s="104"/>
      <c r="AP41" s="104"/>
      <c r="AQ41" s="104"/>
      <c r="AR41" s="104"/>
      <c r="AS41" s="105">
        <f t="shared" si="499"/>
        <v>0</v>
      </c>
      <c r="AU41" s="104"/>
      <c r="AV41" s="104"/>
      <c r="AW41" s="104"/>
      <c r="AX41" s="104"/>
      <c r="AY41" s="104"/>
      <c r="AZ41" s="104"/>
      <c r="BA41" s="104"/>
      <c r="BB41" s="104"/>
      <c r="BC41" s="104"/>
      <c r="BD41" s="104"/>
      <c r="BE41" s="104"/>
      <c r="BF41" s="104"/>
      <c r="BG41" s="105">
        <f t="shared" si="500"/>
        <v>0</v>
      </c>
      <c r="BI41" s="104"/>
      <c r="BJ41" s="104"/>
      <c r="BK41" s="104"/>
      <c r="BL41" s="104"/>
      <c r="BM41" s="104"/>
      <c r="BN41" s="104"/>
      <c r="BO41" s="104"/>
      <c r="BP41" s="104"/>
      <c r="BQ41" s="104"/>
      <c r="BR41" s="104"/>
      <c r="BS41" s="104"/>
      <c r="BT41" s="104"/>
      <c r="BU41" s="105">
        <f t="shared" si="501"/>
        <v>0</v>
      </c>
      <c r="BW41" s="104"/>
      <c r="BX41" s="104"/>
      <c r="BY41" s="104"/>
      <c r="BZ41" s="104"/>
      <c r="CA41" s="104"/>
      <c r="CB41" s="104"/>
      <c r="CC41" s="104"/>
      <c r="CD41" s="104"/>
      <c r="CE41" s="104"/>
      <c r="CF41" s="104"/>
      <c r="CG41" s="104"/>
      <c r="CH41" s="104"/>
      <c r="CI41" s="105">
        <f t="shared" si="502"/>
        <v>0</v>
      </c>
      <c r="CK41" s="104"/>
      <c r="CL41" s="104"/>
      <c r="CM41" s="104"/>
      <c r="CN41" s="104"/>
      <c r="CO41" s="104"/>
      <c r="CP41" s="104"/>
      <c r="CQ41" s="104"/>
      <c r="CR41" s="104"/>
      <c r="CS41" s="104"/>
      <c r="CT41" s="104"/>
      <c r="CU41" s="104"/>
      <c r="CV41" s="104"/>
      <c r="CW41" s="105">
        <f t="shared" si="503"/>
        <v>0</v>
      </c>
      <c r="CY41" s="104"/>
      <c r="CZ41" s="104"/>
      <c r="DA41" s="104"/>
      <c r="DB41" s="104"/>
      <c r="DC41" s="104"/>
      <c r="DD41" s="104"/>
      <c r="DE41" s="104"/>
      <c r="DF41" s="104"/>
      <c r="DG41" s="104"/>
      <c r="DH41" s="104"/>
      <c r="DI41" s="104"/>
      <c r="DJ41" s="104"/>
      <c r="DK41" s="105">
        <f t="shared" si="504"/>
        <v>0</v>
      </c>
      <c r="DM41" s="104"/>
      <c r="DN41" s="104"/>
      <c r="DO41" s="104"/>
      <c r="DP41" s="104"/>
      <c r="DQ41" s="104"/>
      <c r="DR41" s="104"/>
      <c r="DS41" s="104"/>
      <c r="DT41" s="104"/>
      <c r="DU41" s="104"/>
      <c r="DV41" s="104"/>
      <c r="DW41" s="104"/>
      <c r="DX41" s="104"/>
      <c r="DY41" s="105">
        <f t="shared" si="505"/>
        <v>0</v>
      </c>
      <c r="EA41" s="104"/>
      <c r="EB41" s="104"/>
      <c r="EC41" s="104"/>
      <c r="ED41" s="104"/>
      <c r="EE41" s="104"/>
      <c r="EF41" s="104"/>
      <c r="EG41" s="104"/>
      <c r="EH41" s="104"/>
      <c r="EI41" s="104"/>
      <c r="EJ41" s="104"/>
      <c r="EK41" s="104"/>
      <c r="EL41" s="104"/>
      <c r="EM41" s="105">
        <f t="shared" si="506"/>
        <v>0</v>
      </c>
      <c r="EO41" s="104"/>
      <c r="EP41" s="104"/>
      <c r="EQ41" s="104"/>
      <c r="ER41" s="104"/>
      <c r="ES41" s="104"/>
      <c r="ET41" s="104"/>
      <c r="EU41" s="104"/>
      <c r="EV41" s="104"/>
      <c r="EW41" s="104"/>
      <c r="EX41" s="104"/>
      <c r="EY41" s="104"/>
      <c r="EZ41" s="104"/>
      <c r="FA41" s="105">
        <f t="shared" si="507"/>
        <v>0</v>
      </c>
    </row>
    <row r="42" spans="3:157" x14ac:dyDescent="0.25">
      <c r="C42" s="16" t="s">
        <v>25</v>
      </c>
      <c r="E42" s="104"/>
      <c r="F42" s="104"/>
      <c r="G42" s="104"/>
      <c r="H42" s="104">
        <v>600</v>
      </c>
      <c r="I42" s="104">
        <v>1400</v>
      </c>
      <c r="J42" s="104">
        <v>1300</v>
      </c>
      <c r="K42" s="104">
        <v>1500</v>
      </c>
      <c r="L42" s="104">
        <v>200</v>
      </c>
      <c r="M42" s="104">
        <v>1300</v>
      </c>
      <c r="N42" s="104">
        <v>1500</v>
      </c>
      <c r="O42" s="104">
        <v>1400</v>
      </c>
      <c r="P42" s="104">
        <v>1000</v>
      </c>
      <c r="Q42" s="105">
        <f t="shared" si="508"/>
        <v>10200</v>
      </c>
      <c r="S42" s="104"/>
      <c r="T42" s="104"/>
      <c r="U42" s="104"/>
      <c r="V42" s="104"/>
      <c r="W42" s="104"/>
      <c r="X42" s="104"/>
      <c r="Y42" s="104"/>
      <c r="Z42" s="104"/>
      <c r="AA42" s="104"/>
      <c r="AB42" s="104"/>
      <c r="AC42" s="104"/>
      <c r="AD42" s="104"/>
      <c r="AE42" s="105">
        <f t="shared" si="509"/>
        <v>0</v>
      </c>
      <c r="AG42" s="104"/>
      <c r="AH42" s="104"/>
      <c r="AI42" s="104"/>
      <c r="AJ42" s="104"/>
      <c r="AK42" s="104"/>
      <c r="AL42" s="104"/>
      <c r="AM42" s="104"/>
      <c r="AN42" s="104"/>
      <c r="AO42" s="104"/>
      <c r="AP42" s="104"/>
      <c r="AQ42" s="104"/>
      <c r="AR42" s="104"/>
      <c r="AS42" s="105">
        <f t="shared" si="499"/>
        <v>0</v>
      </c>
      <c r="AU42" s="104"/>
      <c r="AV42" s="104"/>
      <c r="AW42" s="104"/>
      <c r="AX42" s="104"/>
      <c r="AY42" s="104"/>
      <c r="AZ42" s="104"/>
      <c r="BA42" s="104"/>
      <c r="BB42" s="104"/>
      <c r="BC42" s="104"/>
      <c r="BD42" s="104"/>
      <c r="BE42" s="104"/>
      <c r="BF42" s="104"/>
      <c r="BG42" s="105">
        <f t="shared" si="500"/>
        <v>0</v>
      </c>
      <c r="BI42" s="104"/>
      <c r="BJ42" s="104"/>
      <c r="BK42" s="104"/>
      <c r="BL42" s="104"/>
      <c r="BM42" s="104"/>
      <c r="BN42" s="104"/>
      <c r="BO42" s="104"/>
      <c r="BP42" s="104"/>
      <c r="BQ42" s="104"/>
      <c r="BR42" s="104"/>
      <c r="BS42" s="104"/>
      <c r="BT42" s="104"/>
      <c r="BU42" s="105">
        <f t="shared" si="501"/>
        <v>0</v>
      </c>
      <c r="BW42" s="104"/>
      <c r="BX42" s="104"/>
      <c r="BY42" s="104"/>
      <c r="BZ42" s="104"/>
      <c r="CA42" s="104"/>
      <c r="CB42" s="104"/>
      <c r="CC42" s="104"/>
      <c r="CD42" s="104"/>
      <c r="CE42" s="104"/>
      <c r="CF42" s="104"/>
      <c r="CG42" s="104"/>
      <c r="CH42" s="104"/>
      <c r="CI42" s="105">
        <f t="shared" si="502"/>
        <v>0</v>
      </c>
      <c r="CK42" s="104"/>
      <c r="CL42" s="104"/>
      <c r="CM42" s="104"/>
      <c r="CN42" s="104"/>
      <c r="CO42" s="104"/>
      <c r="CP42" s="104"/>
      <c r="CQ42" s="104"/>
      <c r="CR42" s="104"/>
      <c r="CS42" s="104"/>
      <c r="CT42" s="104"/>
      <c r="CU42" s="104"/>
      <c r="CV42" s="104"/>
      <c r="CW42" s="105">
        <f t="shared" si="503"/>
        <v>0</v>
      </c>
      <c r="CY42" s="104"/>
      <c r="CZ42" s="104"/>
      <c r="DA42" s="104"/>
      <c r="DB42" s="104"/>
      <c r="DC42" s="104"/>
      <c r="DD42" s="104"/>
      <c r="DE42" s="104"/>
      <c r="DF42" s="104"/>
      <c r="DG42" s="104"/>
      <c r="DH42" s="104"/>
      <c r="DI42" s="104"/>
      <c r="DJ42" s="104"/>
      <c r="DK42" s="105">
        <f t="shared" si="504"/>
        <v>0</v>
      </c>
      <c r="DM42" s="104"/>
      <c r="DN42" s="104"/>
      <c r="DO42" s="104"/>
      <c r="DP42" s="104"/>
      <c r="DQ42" s="104"/>
      <c r="DR42" s="104"/>
      <c r="DS42" s="104"/>
      <c r="DT42" s="104"/>
      <c r="DU42" s="104"/>
      <c r="DV42" s="104"/>
      <c r="DW42" s="104"/>
      <c r="DX42" s="104"/>
      <c r="DY42" s="105">
        <f t="shared" si="505"/>
        <v>0</v>
      </c>
      <c r="EA42" s="104"/>
      <c r="EB42" s="104"/>
      <c r="EC42" s="104"/>
      <c r="ED42" s="104"/>
      <c r="EE42" s="104"/>
      <c r="EF42" s="104"/>
      <c r="EG42" s="104"/>
      <c r="EH42" s="104"/>
      <c r="EI42" s="104"/>
      <c r="EJ42" s="104"/>
      <c r="EK42" s="104"/>
      <c r="EL42" s="104"/>
      <c r="EM42" s="105">
        <f t="shared" si="506"/>
        <v>0</v>
      </c>
      <c r="EO42" s="104"/>
      <c r="EP42" s="104"/>
      <c r="EQ42" s="104"/>
      <c r="ER42" s="104"/>
      <c r="ES42" s="104"/>
      <c r="ET42" s="104"/>
      <c r="EU42" s="104"/>
      <c r="EV42" s="104"/>
      <c r="EW42" s="104"/>
      <c r="EX42" s="104"/>
      <c r="EY42" s="104"/>
      <c r="EZ42" s="104"/>
      <c r="FA42" s="105">
        <f t="shared" si="507"/>
        <v>0</v>
      </c>
    </row>
    <row r="43" spans="3:157" x14ac:dyDescent="0.25">
      <c r="C43" s="16" t="s">
        <v>26</v>
      </c>
      <c r="E43" s="104">
        <v>200</v>
      </c>
      <c r="F43" s="104">
        <v>100</v>
      </c>
      <c r="G43" s="104"/>
      <c r="H43" s="104">
        <v>100</v>
      </c>
      <c r="I43" s="104">
        <v>100</v>
      </c>
      <c r="J43" s="104">
        <v>100</v>
      </c>
      <c r="K43" s="104">
        <v>100</v>
      </c>
      <c r="L43" s="104">
        <v>100</v>
      </c>
      <c r="M43" s="104">
        <v>100</v>
      </c>
      <c r="N43" s="104">
        <v>100</v>
      </c>
      <c r="O43" s="104">
        <v>100</v>
      </c>
      <c r="P43" s="104">
        <v>100</v>
      </c>
      <c r="Q43" s="105">
        <f t="shared" si="508"/>
        <v>1200</v>
      </c>
      <c r="S43" s="104"/>
      <c r="T43" s="104"/>
      <c r="U43" s="104"/>
      <c r="V43" s="104"/>
      <c r="W43" s="104"/>
      <c r="X43" s="104"/>
      <c r="Y43" s="104"/>
      <c r="Z43" s="104"/>
      <c r="AA43" s="104"/>
      <c r="AB43" s="104"/>
      <c r="AC43" s="104"/>
      <c r="AD43" s="104"/>
      <c r="AE43" s="105">
        <f t="shared" si="509"/>
        <v>0</v>
      </c>
      <c r="AG43" s="104"/>
      <c r="AH43" s="104"/>
      <c r="AI43" s="104"/>
      <c r="AJ43" s="104"/>
      <c r="AK43" s="104"/>
      <c r="AL43" s="104"/>
      <c r="AM43" s="104"/>
      <c r="AN43" s="104"/>
      <c r="AO43" s="104"/>
      <c r="AP43" s="104"/>
      <c r="AQ43" s="104"/>
      <c r="AR43" s="104"/>
      <c r="AS43" s="105">
        <f t="shared" si="499"/>
        <v>0</v>
      </c>
      <c r="AU43" s="104"/>
      <c r="AV43" s="104"/>
      <c r="AW43" s="104"/>
      <c r="AX43" s="104"/>
      <c r="AY43" s="104"/>
      <c r="AZ43" s="104"/>
      <c r="BA43" s="104"/>
      <c r="BB43" s="104"/>
      <c r="BC43" s="104"/>
      <c r="BD43" s="104"/>
      <c r="BE43" s="104"/>
      <c r="BF43" s="104"/>
      <c r="BG43" s="105">
        <f t="shared" si="500"/>
        <v>0</v>
      </c>
      <c r="BI43" s="104"/>
      <c r="BJ43" s="104"/>
      <c r="BK43" s="104"/>
      <c r="BL43" s="104"/>
      <c r="BM43" s="104"/>
      <c r="BN43" s="104"/>
      <c r="BO43" s="104"/>
      <c r="BP43" s="104"/>
      <c r="BQ43" s="104"/>
      <c r="BR43" s="104"/>
      <c r="BS43" s="104"/>
      <c r="BT43" s="104"/>
      <c r="BU43" s="105">
        <f t="shared" si="501"/>
        <v>0</v>
      </c>
      <c r="BW43" s="104"/>
      <c r="BX43" s="104"/>
      <c r="BY43" s="104"/>
      <c r="BZ43" s="104"/>
      <c r="CA43" s="104"/>
      <c r="CB43" s="104"/>
      <c r="CC43" s="104"/>
      <c r="CD43" s="104"/>
      <c r="CE43" s="104"/>
      <c r="CF43" s="104"/>
      <c r="CG43" s="104"/>
      <c r="CH43" s="104"/>
      <c r="CI43" s="105">
        <f t="shared" si="502"/>
        <v>0</v>
      </c>
      <c r="CK43" s="104"/>
      <c r="CL43" s="104"/>
      <c r="CM43" s="104"/>
      <c r="CN43" s="104"/>
      <c r="CO43" s="104"/>
      <c r="CP43" s="104"/>
      <c r="CQ43" s="104"/>
      <c r="CR43" s="104"/>
      <c r="CS43" s="104"/>
      <c r="CT43" s="104"/>
      <c r="CU43" s="104"/>
      <c r="CV43" s="104"/>
      <c r="CW43" s="105">
        <f t="shared" si="503"/>
        <v>0</v>
      </c>
      <c r="CY43" s="104"/>
      <c r="CZ43" s="104"/>
      <c r="DA43" s="104"/>
      <c r="DB43" s="104"/>
      <c r="DC43" s="104"/>
      <c r="DD43" s="104"/>
      <c r="DE43" s="104"/>
      <c r="DF43" s="104"/>
      <c r="DG43" s="104"/>
      <c r="DH43" s="104"/>
      <c r="DI43" s="104"/>
      <c r="DJ43" s="104"/>
      <c r="DK43" s="105">
        <f t="shared" si="504"/>
        <v>0</v>
      </c>
      <c r="DM43" s="104"/>
      <c r="DN43" s="104"/>
      <c r="DO43" s="104"/>
      <c r="DP43" s="104"/>
      <c r="DQ43" s="104"/>
      <c r="DR43" s="104"/>
      <c r="DS43" s="104"/>
      <c r="DT43" s="104"/>
      <c r="DU43" s="104"/>
      <c r="DV43" s="104"/>
      <c r="DW43" s="104"/>
      <c r="DX43" s="104"/>
      <c r="DY43" s="105">
        <f t="shared" si="505"/>
        <v>0</v>
      </c>
      <c r="EA43" s="104"/>
      <c r="EB43" s="104"/>
      <c r="EC43" s="104"/>
      <c r="ED43" s="104"/>
      <c r="EE43" s="104"/>
      <c r="EF43" s="104"/>
      <c r="EG43" s="104"/>
      <c r="EH43" s="104"/>
      <c r="EI43" s="104"/>
      <c r="EJ43" s="104"/>
      <c r="EK43" s="104"/>
      <c r="EL43" s="104"/>
      <c r="EM43" s="105">
        <f t="shared" si="506"/>
        <v>0</v>
      </c>
      <c r="EO43" s="104"/>
      <c r="EP43" s="104"/>
      <c r="EQ43" s="104"/>
      <c r="ER43" s="104"/>
      <c r="ES43" s="104"/>
      <c r="ET43" s="104"/>
      <c r="EU43" s="104"/>
      <c r="EV43" s="104"/>
      <c r="EW43" s="104"/>
      <c r="EX43" s="104"/>
      <c r="EY43" s="104"/>
      <c r="EZ43" s="104"/>
      <c r="FA43" s="105">
        <f t="shared" si="507"/>
        <v>0</v>
      </c>
    </row>
    <row r="44" spans="3:157" hidden="1" x14ac:dyDescent="0.25">
      <c r="C44" s="16" t="s">
        <v>17</v>
      </c>
      <c r="E44" s="104"/>
      <c r="F44" s="104"/>
      <c r="G44" s="104"/>
      <c r="H44" s="104"/>
      <c r="I44" s="104"/>
      <c r="J44" s="104"/>
      <c r="K44" s="104"/>
      <c r="L44" s="104"/>
      <c r="M44" s="104"/>
      <c r="N44" s="104"/>
      <c r="O44" s="104"/>
      <c r="P44" s="104"/>
      <c r="Q44" s="105">
        <f t="shared" si="508"/>
        <v>0</v>
      </c>
      <c r="S44" s="104"/>
      <c r="T44" s="104"/>
      <c r="U44" s="104"/>
      <c r="V44" s="104"/>
      <c r="W44" s="104"/>
      <c r="X44" s="104"/>
      <c r="Y44" s="104"/>
      <c r="Z44" s="104"/>
      <c r="AA44" s="104"/>
      <c r="AB44" s="104"/>
      <c r="AC44" s="104"/>
      <c r="AD44" s="104"/>
      <c r="AE44" s="105">
        <f t="shared" si="509"/>
        <v>0</v>
      </c>
      <c r="AG44" s="104"/>
      <c r="AH44" s="104"/>
      <c r="AI44" s="104"/>
      <c r="AJ44" s="104"/>
      <c r="AK44" s="104"/>
      <c r="AL44" s="104"/>
      <c r="AM44" s="104"/>
      <c r="AN44" s="104"/>
      <c r="AO44" s="104"/>
      <c r="AP44" s="104"/>
      <c r="AQ44" s="104"/>
      <c r="AR44" s="104"/>
      <c r="AS44" s="105">
        <f t="shared" si="499"/>
        <v>0</v>
      </c>
      <c r="AU44" s="104"/>
      <c r="AV44" s="104"/>
      <c r="AW44" s="104"/>
      <c r="AX44" s="104"/>
      <c r="AY44" s="104"/>
      <c r="AZ44" s="104"/>
      <c r="BA44" s="104"/>
      <c r="BB44" s="104"/>
      <c r="BC44" s="104"/>
      <c r="BD44" s="104"/>
      <c r="BE44" s="104"/>
      <c r="BF44" s="104"/>
      <c r="BG44" s="105">
        <f t="shared" si="500"/>
        <v>0</v>
      </c>
      <c r="BI44" s="104"/>
      <c r="BJ44" s="104"/>
      <c r="BK44" s="104"/>
      <c r="BL44" s="104"/>
      <c r="BM44" s="104"/>
      <c r="BN44" s="104"/>
      <c r="BO44" s="104"/>
      <c r="BP44" s="104"/>
      <c r="BQ44" s="104"/>
      <c r="BR44" s="104"/>
      <c r="BS44" s="104"/>
      <c r="BT44" s="104"/>
      <c r="BU44" s="105">
        <f t="shared" si="501"/>
        <v>0</v>
      </c>
      <c r="BW44" s="104"/>
      <c r="BX44" s="104"/>
      <c r="BY44" s="104"/>
      <c r="BZ44" s="104"/>
      <c r="CA44" s="104"/>
      <c r="CB44" s="104"/>
      <c r="CC44" s="104"/>
      <c r="CD44" s="104"/>
      <c r="CE44" s="104"/>
      <c r="CF44" s="104"/>
      <c r="CG44" s="104"/>
      <c r="CH44" s="104"/>
      <c r="CI44" s="105">
        <f t="shared" si="502"/>
        <v>0</v>
      </c>
      <c r="CK44" s="104"/>
      <c r="CL44" s="104"/>
      <c r="CM44" s="104"/>
      <c r="CN44" s="104"/>
      <c r="CO44" s="104"/>
      <c r="CP44" s="104"/>
      <c r="CQ44" s="104"/>
      <c r="CR44" s="104"/>
      <c r="CS44" s="104"/>
      <c r="CT44" s="104"/>
      <c r="CU44" s="104"/>
      <c r="CV44" s="104"/>
      <c r="CW44" s="105">
        <f t="shared" si="503"/>
        <v>0</v>
      </c>
      <c r="CY44" s="104"/>
      <c r="CZ44" s="104"/>
      <c r="DA44" s="104"/>
      <c r="DB44" s="104"/>
      <c r="DC44" s="104"/>
      <c r="DD44" s="104"/>
      <c r="DE44" s="104"/>
      <c r="DF44" s="104"/>
      <c r="DG44" s="104"/>
      <c r="DH44" s="104"/>
      <c r="DI44" s="104"/>
      <c r="DJ44" s="104"/>
      <c r="DK44" s="105">
        <f t="shared" si="504"/>
        <v>0</v>
      </c>
      <c r="DM44" s="104"/>
      <c r="DN44" s="104"/>
      <c r="DO44" s="104"/>
      <c r="DP44" s="104"/>
      <c r="DQ44" s="104"/>
      <c r="DR44" s="104"/>
      <c r="DS44" s="104"/>
      <c r="DT44" s="104"/>
      <c r="DU44" s="104"/>
      <c r="DV44" s="104"/>
      <c r="DW44" s="104"/>
      <c r="DX44" s="104"/>
      <c r="DY44" s="105">
        <f t="shared" si="505"/>
        <v>0</v>
      </c>
      <c r="EA44" s="104"/>
      <c r="EB44" s="104"/>
      <c r="EC44" s="104"/>
      <c r="ED44" s="104"/>
      <c r="EE44" s="104"/>
      <c r="EF44" s="104"/>
      <c r="EG44" s="104"/>
      <c r="EH44" s="104"/>
      <c r="EI44" s="104"/>
      <c r="EJ44" s="104"/>
      <c r="EK44" s="104"/>
      <c r="EL44" s="104"/>
      <c r="EM44" s="105">
        <f t="shared" si="506"/>
        <v>0</v>
      </c>
      <c r="EO44" s="104"/>
      <c r="EP44" s="104"/>
      <c r="EQ44" s="104"/>
      <c r="ER44" s="104"/>
      <c r="ES44" s="104"/>
      <c r="ET44" s="104"/>
      <c r="EU44" s="104"/>
      <c r="EV44" s="104"/>
      <c r="EW44" s="104"/>
      <c r="EX44" s="104"/>
      <c r="EY44" s="104"/>
      <c r="EZ44" s="104"/>
      <c r="FA44" s="105">
        <f t="shared" si="507"/>
        <v>0</v>
      </c>
    </row>
    <row r="45" spans="3:157" hidden="1" x14ac:dyDescent="0.25">
      <c r="C45" s="16" t="s">
        <v>17</v>
      </c>
      <c r="E45" s="104"/>
      <c r="F45" s="104"/>
      <c r="G45" s="104"/>
      <c r="H45" s="104"/>
      <c r="I45" s="104"/>
      <c r="J45" s="104"/>
      <c r="K45" s="104"/>
      <c r="L45" s="104"/>
      <c r="M45" s="104"/>
      <c r="N45" s="104"/>
      <c r="O45" s="104"/>
      <c r="P45" s="104"/>
      <c r="Q45" s="105">
        <f t="shared" si="508"/>
        <v>0</v>
      </c>
      <c r="S45" s="104"/>
      <c r="T45" s="104"/>
      <c r="U45" s="104"/>
      <c r="V45" s="104"/>
      <c r="W45" s="104"/>
      <c r="X45" s="104"/>
      <c r="Y45" s="104"/>
      <c r="Z45" s="104"/>
      <c r="AA45" s="104"/>
      <c r="AB45" s="104"/>
      <c r="AC45" s="104"/>
      <c r="AD45" s="104"/>
      <c r="AE45" s="105">
        <f t="shared" si="509"/>
        <v>0</v>
      </c>
      <c r="AG45" s="104"/>
      <c r="AH45" s="104"/>
      <c r="AI45" s="104"/>
      <c r="AJ45" s="104"/>
      <c r="AK45" s="104"/>
      <c r="AL45" s="104"/>
      <c r="AM45" s="104"/>
      <c r="AN45" s="104"/>
      <c r="AO45" s="104"/>
      <c r="AP45" s="104"/>
      <c r="AQ45" s="104"/>
      <c r="AR45" s="104"/>
      <c r="AS45" s="105">
        <f t="shared" si="499"/>
        <v>0</v>
      </c>
      <c r="AU45" s="104"/>
      <c r="AV45" s="104"/>
      <c r="AW45" s="104"/>
      <c r="AX45" s="104"/>
      <c r="AY45" s="104"/>
      <c r="AZ45" s="104"/>
      <c r="BA45" s="104"/>
      <c r="BB45" s="104"/>
      <c r="BC45" s="104"/>
      <c r="BD45" s="104"/>
      <c r="BE45" s="104"/>
      <c r="BF45" s="104"/>
      <c r="BG45" s="105">
        <f t="shared" si="500"/>
        <v>0</v>
      </c>
      <c r="BI45" s="104"/>
      <c r="BJ45" s="104"/>
      <c r="BK45" s="104"/>
      <c r="BL45" s="104"/>
      <c r="BM45" s="104"/>
      <c r="BN45" s="104"/>
      <c r="BO45" s="104"/>
      <c r="BP45" s="104"/>
      <c r="BQ45" s="104"/>
      <c r="BR45" s="104"/>
      <c r="BS45" s="104"/>
      <c r="BT45" s="104"/>
      <c r="BU45" s="105">
        <f t="shared" si="501"/>
        <v>0</v>
      </c>
      <c r="BW45" s="104"/>
      <c r="BX45" s="104"/>
      <c r="BY45" s="104"/>
      <c r="BZ45" s="104"/>
      <c r="CA45" s="104"/>
      <c r="CB45" s="104"/>
      <c r="CC45" s="104"/>
      <c r="CD45" s="104"/>
      <c r="CE45" s="104"/>
      <c r="CF45" s="104"/>
      <c r="CG45" s="104"/>
      <c r="CH45" s="104"/>
      <c r="CI45" s="105">
        <f t="shared" si="502"/>
        <v>0</v>
      </c>
      <c r="CK45" s="104"/>
      <c r="CL45" s="104"/>
      <c r="CM45" s="104"/>
      <c r="CN45" s="104"/>
      <c r="CO45" s="104"/>
      <c r="CP45" s="104"/>
      <c r="CQ45" s="104"/>
      <c r="CR45" s="104"/>
      <c r="CS45" s="104"/>
      <c r="CT45" s="104"/>
      <c r="CU45" s="104"/>
      <c r="CV45" s="104"/>
      <c r="CW45" s="105">
        <f t="shared" si="503"/>
        <v>0</v>
      </c>
      <c r="CY45" s="104"/>
      <c r="CZ45" s="104"/>
      <c r="DA45" s="104"/>
      <c r="DB45" s="104"/>
      <c r="DC45" s="104"/>
      <c r="DD45" s="104"/>
      <c r="DE45" s="104"/>
      <c r="DF45" s="104"/>
      <c r="DG45" s="104"/>
      <c r="DH45" s="104"/>
      <c r="DI45" s="104"/>
      <c r="DJ45" s="104"/>
      <c r="DK45" s="105">
        <f t="shared" si="504"/>
        <v>0</v>
      </c>
      <c r="DM45" s="104"/>
      <c r="DN45" s="104"/>
      <c r="DO45" s="104"/>
      <c r="DP45" s="104"/>
      <c r="DQ45" s="104"/>
      <c r="DR45" s="104"/>
      <c r="DS45" s="104"/>
      <c r="DT45" s="104"/>
      <c r="DU45" s="104"/>
      <c r="DV45" s="104"/>
      <c r="DW45" s="104"/>
      <c r="DX45" s="104"/>
      <c r="DY45" s="105">
        <f t="shared" si="505"/>
        <v>0</v>
      </c>
      <c r="EA45" s="104"/>
      <c r="EB45" s="104"/>
      <c r="EC45" s="104"/>
      <c r="ED45" s="104"/>
      <c r="EE45" s="104"/>
      <c r="EF45" s="104"/>
      <c r="EG45" s="104"/>
      <c r="EH45" s="104"/>
      <c r="EI45" s="104"/>
      <c r="EJ45" s="104"/>
      <c r="EK45" s="104"/>
      <c r="EL45" s="104"/>
      <c r="EM45" s="105">
        <f t="shared" si="506"/>
        <v>0</v>
      </c>
      <c r="EO45" s="104"/>
      <c r="EP45" s="104"/>
      <c r="EQ45" s="104"/>
      <c r="ER45" s="104"/>
      <c r="ES45" s="104"/>
      <c r="ET45" s="104"/>
      <c r="EU45" s="104"/>
      <c r="EV45" s="104"/>
      <c r="EW45" s="104"/>
      <c r="EX45" s="104"/>
      <c r="EY45" s="104"/>
      <c r="EZ45" s="104"/>
      <c r="FA45" s="105">
        <f t="shared" si="507"/>
        <v>0</v>
      </c>
    </row>
    <row r="46" spans="3:157" hidden="1" x14ac:dyDescent="0.25">
      <c r="C46" s="16" t="s">
        <v>17</v>
      </c>
      <c r="E46" s="104"/>
      <c r="F46" s="104"/>
      <c r="G46" s="104"/>
      <c r="H46" s="104"/>
      <c r="I46" s="104"/>
      <c r="J46" s="104"/>
      <c r="K46" s="104"/>
      <c r="L46" s="104"/>
      <c r="M46" s="104"/>
      <c r="N46" s="104"/>
      <c r="O46" s="104"/>
      <c r="P46" s="104"/>
      <c r="Q46" s="105">
        <f t="shared" si="508"/>
        <v>0</v>
      </c>
      <c r="S46" s="104"/>
      <c r="T46" s="104"/>
      <c r="U46" s="104"/>
      <c r="V46" s="104"/>
      <c r="W46" s="104"/>
      <c r="X46" s="104"/>
      <c r="Y46" s="104"/>
      <c r="Z46" s="104"/>
      <c r="AA46" s="104"/>
      <c r="AB46" s="104"/>
      <c r="AC46" s="104"/>
      <c r="AD46" s="104"/>
      <c r="AE46" s="105">
        <f t="shared" si="509"/>
        <v>0</v>
      </c>
      <c r="AG46" s="104"/>
      <c r="AH46" s="104"/>
      <c r="AI46" s="104"/>
      <c r="AJ46" s="104"/>
      <c r="AK46" s="104"/>
      <c r="AL46" s="104"/>
      <c r="AM46" s="104"/>
      <c r="AN46" s="104"/>
      <c r="AO46" s="104"/>
      <c r="AP46" s="104"/>
      <c r="AQ46" s="104"/>
      <c r="AR46" s="104"/>
      <c r="AS46" s="105">
        <f t="shared" si="499"/>
        <v>0</v>
      </c>
      <c r="AU46" s="104"/>
      <c r="AV46" s="104"/>
      <c r="AW46" s="104"/>
      <c r="AX46" s="104"/>
      <c r="AY46" s="104"/>
      <c r="AZ46" s="104"/>
      <c r="BA46" s="104"/>
      <c r="BB46" s="104"/>
      <c r="BC46" s="104"/>
      <c r="BD46" s="104"/>
      <c r="BE46" s="104"/>
      <c r="BF46" s="104"/>
      <c r="BG46" s="105">
        <f t="shared" si="500"/>
        <v>0</v>
      </c>
      <c r="BI46" s="104"/>
      <c r="BJ46" s="104"/>
      <c r="BK46" s="104"/>
      <c r="BL46" s="104"/>
      <c r="BM46" s="104"/>
      <c r="BN46" s="104"/>
      <c r="BO46" s="104"/>
      <c r="BP46" s="104"/>
      <c r="BQ46" s="104"/>
      <c r="BR46" s="104"/>
      <c r="BS46" s="104"/>
      <c r="BT46" s="104"/>
      <c r="BU46" s="105">
        <f t="shared" si="501"/>
        <v>0</v>
      </c>
      <c r="BW46" s="104"/>
      <c r="BX46" s="104"/>
      <c r="BY46" s="104"/>
      <c r="BZ46" s="104"/>
      <c r="CA46" s="104"/>
      <c r="CB46" s="104"/>
      <c r="CC46" s="104"/>
      <c r="CD46" s="104"/>
      <c r="CE46" s="104"/>
      <c r="CF46" s="104"/>
      <c r="CG46" s="104"/>
      <c r="CH46" s="104"/>
      <c r="CI46" s="105">
        <f t="shared" si="502"/>
        <v>0</v>
      </c>
      <c r="CK46" s="104"/>
      <c r="CL46" s="104"/>
      <c r="CM46" s="104"/>
      <c r="CN46" s="104"/>
      <c r="CO46" s="104"/>
      <c r="CP46" s="104"/>
      <c r="CQ46" s="104"/>
      <c r="CR46" s="104"/>
      <c r="CS46" s="104"/>
      <c r="CT46" s="104"/>
      <c r="CU46" s="104"/>
      <c r="CV46" s="104"/>
      <c r="CW46" s="105">
        <f t="shared" si="503"/>
        <v>0</v>
      </c>
      <c r="CY46" s="104"/>
      <c r="CZ46" s="104"/>
      <c r="DA46" s="104"/>
      <c r="DB46" s="104"/>
      <c r="DC46" s="104"/>
      <c r="DD46" s="104"/>
      <c r="DE46" s="104"/>
      <c r="DF46" s="104"/>
      <c r="DG46" s="104"/>
      <c r="DH46" s="104"/>
      <c r="DI46" s="104"/>
      <c r="DJ46" s="104"/>
      <c r="DK46" s="105">
        <f t="shared" si="504"/>
        <v>0</v>
      </c>
      <c r="DM46" s="104"/>
      <c r="DN46" s="104"/>
      <c r="DO46" s="104"/>
      <c r="DP46" s="104"/>
      <c r="DQ46" s="104"/>
      <c r="DR46" s="104"/>
      <c r="DS46" s="104"/>
      <c r="DT46" s="104"/>
      <c r="DU46" s="104"/>
      <c r="DV46" s="104"/>
      <c r="DW46" s="104"/>
      <c r="DX46" s="104"/>
      <c r="DY46" s="105">
        <f t="shared" si="505"/>
        <v>0</v>
      </c>
      <c r="EA46" s="104"/>
      <c r="EB46" s="104"/>
      <c r="EC46" s="104"/>
      <c r="ED46" s="104"/>
      <c r="EE46" s="104"/>
      <c r="EF46" s="104"/>
      <c r="EG46" s="104"/>
      <c r="EH46" s="104"/>
      <c r="EI46" s="104"/>
      <c r="EJ46" s="104"/>
      <c r="EK46" s="104"/>
      <c r="EL46" s="104"/>
      <c r="EM46" s="105">
        <f t="shared" si="506"/>
        <v>0</v>
      </c>
      <c r="EO46" s="104"/>
      <c r="EP46" s="104"/>
      <c r="EQ46" s="104"/>
      <c r="ER46" s="104"/>
      <c r="ES46" s="104"/>
      <c r="ET46" s="104"/>
      <c r="EU46" s="104"/>
      <c r="EV46" s="104"/>
      <c r="EW46" s="104"/>
      <c r="EX46" s="104"/>
      <c r="EY46" s="104"/>
      <c r="EZ46" s="104"/>
      <c r="FA46" s="105">
        <f t="shared" si="507"/>
        <v>0</v>
      </c>
    </row>
    <row r="47" spans="3:157" hidden="1" x14ac:dyDescent="0.25">
      <c r="C47" s="16" t="s">
        <v>17</v>
      </c>
      <c r="E47" s="104"/>
      <c r="F47" s="104"/>
      <c r="G47" s="104"/>
      <c r="H47" s="104"/>
      <c r="I47" s="104"/>
      <c r="J47" s="104"/>
      <c r="K47" s="104"/>
      <c r="L47" s="104"/>
      <c r="M47" s="104"/>
      <c r="N47" s="104"/>
      <c r="O47" s="104"/>
      <c r="P47" s="104"/>
      <c r="Q47" s="105">
        <f t="shared" si="508"/>
        <v>0</v>
      </c>
      <c r="S47" s="104"/>
      <c r="T47" s="104"/>
      <c r="U47" s="104"/>
      <c r="V47" s="104"/>
      <c r="W47" s="104"/>
      <c r="X47" s="104"/>
      <c r="Y47" s="104"/>
      <c r="Z47" s="104"/>
      <c r="AA47" s="104"/>
      <c r="AB47" s="104"/>
      <c r="AC47" s="104"/>
      <c r="AD47" s="104"/>
      <c r="AE47" s="105">
        <f t="shared" si="509"/>
        <v>0</v>
      </c>
      <c r="AG47" s="104"/>
      <c r="AH47" s="104"/>
      <c r="AI47" s="104"/>
      <c r="AJ47" s="104"/>
      <c r="AK47" s="104"/>
      <c r="AL47" s="104"/>
      <c r="AM47" s="104"/>
      <c r="AN47" s="104"/>
      <c r="AO47" s="104"/>
      <c r="AP47" s="104"/>
      <c r="AQ47" s="104"/>
      <c r="AR47" s="104"/>
      <c r="AS47" s="105">
        <f t="shared" si="499"/>
        <v>0</v>
      </c>
      <c r="AU47" s="104"/>
      <c r="AV47" s="104"/>
      <c r="AW47" s="104"/>
      <c r="AX47" s="104"/>
      <c r="AY47" s="104"/>
      <c r="AZ47" s="104"/>
      <c r="BA47" s="104"/>
      <c r="BB47" s="104"/>
      <c r="BC47" s="104"/>
      <c r="BD47" s="104"/>
      <c r="BE47" s="104"/>
      <c r="BF47" s="104"/>
      <c r="BG47" s="105">
        <f t="shared" si="500"/>
        <v>0</v>
      </c>
      <c r="BI47" s="104"/>
      <c r="BJ47" s="104"/>
      <c r="BK47" s="104"/>
      <c r="BL47" s="104"/>
      <c r="BM47" s="104"/>
      <c r="BN47" s="104"/>
      <c r="BO47" s="104"/>
      <c r="BP47" s="104"/>
      <c r="BQ47" s="104"/>
      <c r="BR47" s="104"/>
      <c r="BS47" s="104"/>
      <c r="BT47" s="104"/>
      <c r="BU47" s="105">
        <f t="shared" si="501"/>
        <v>0</v>
      </c>
      <c r="BW47" s="104"/>
      <c r="BX47" s="104"/>
      <c r="BY47" s="104"/>
      <c r="BZ47" s="104"/>
      <c r="CA47" s="104"/>
      <c r="CB47" s="104"/>
      <c r="CC47" s="104"/>
      <c r="CD47" s="104"/>
      <c r="CE47" s="104"/>
      <c r="CF47" s="104"/>
      <c r="CG47" s="104"/>
      <c r="CH47" s="104"/>
      <c r="CI47" s="105">
        <f t="shared" si="502"/>
        <v>0</v>
      </c>
      <c r="CK47" s="104"/>
      <c r="CL47" s="104"/>
      <c r="CM47" s="104"/>
      <c r="CN47" s="104"/>
      <c r="CO47" s="104"/>
      <c r="CP47" s="104"/>
      <c r="CQ47" s="104"/>
      <c r="CR47" s="104"/>
      <c r="CS47" s="104"/>
      <c r="CT47" s="104"/>
      <c r="CU47" s="104"/>
      <c r="CV47" s="104"/>
      <c r="CW47" s="105">
        <f t="shared" si="503"/>
        <v>0</v>
      </c>
      <c r="CY47" s="104"/>
      <c r="CZ47" s="104"/>
      <c r="DA47" s="104"/>
      <c r="DB47" s="104"/>
      <c r="DC47" s="104"/>
      <c r="DD47" s="104"/>
      <c r="DE47" s="104"/>
      <c r="DF47" s="104"/>
      <c r="DG47" s="104"/>
      <c r="DH47" s="104"/>
      <c r="DI47" s="104"/>
      <c r="DJ47" s="104"/>
      <c r="DK47" s="105">
        <f t="shared" si="504"/>
        <v>0</v>
      </c>
      <c r="DM47" s="104"/>
      <c r="DN47" s="104"/>
      <c r="DO47" s="104"/>
      <c r="DP47" s="104"/>
      <c r="DQ47" s="104"/>
      <c r="DR47" s="104"/>
      <c r="DS47" s="104"/>
      <c r="DT47" s="104"/>
      <c r="DU47" s="104"/>
      <c r="DV47" s="104"/>
      <c r="DW47" s="104"/>
      <c r="DX47" s="104"/>
      <c r="DY47" s="105">
        <f t="shared" si="505"/>
        <v>0</v>
      </c>
      <c r="EA47" s="104"/>
      <c r="EB47" s="104"/>
      <c r="EC47" s="104"/>
      <c r="ED47" s="104"/>
      <c r="EE47" s="104"/>
      <c r="EF47" s="104"/>
      <c r="EG47" s="104"/>
      <c r="EH47" s="104"/>
      <c r="EI47" s="104"/>
      <c r="EJ47" s="104"/>
      <c r="EK47" s="104"/>
      <c r="EL47" s="104"/>
      <c r="EM47" s="105">
        <f t="shared" si="506"/>
        <v>0</v>
      </c>
      <c r="EO47" s="104"/>
      <c r="EP47" s="104"/>
      <c r="EQ47" s="104"/>
      <c r="ER47" s="104"/>
      <c r="ES47" s="104"/>
      <c r="ET47" s="104"/>
      <c r="EU47" s="104"/>
      <c r="EV47" s="104"/>
      <c r="EW47" s="104"/>
      <c r="EX47" s="104"/>
      <c r="EY47" s="104"/>
      <c r="EZ47" s="104"/>
      <c r="FA47" s="105">
        <f t="shared" si="507"/>
        <v>0</v>
      </c>
    </row>
    <row r="48" spans="3:157" hidden="1" x14ac:dyDescent="0.25">
      <c r="C48" s="16" t="s">
        <v>17</v>
      </c>
      <c r="E48" s="104"/>
      <c r="F48" s="104"/>
      <c r="G48" s="104"/>
      <c r="H48" s="104"/>
      <c r="I48" s="104"/>
      <c r="J48" s="104"/>
      <c r="K48" s="104"/>
      <c r="L48" s="104"/>
      <c r="M48" s="104"/>
      <c r="N48" s="104"/>
      <c r="O48" s="104"/>
      <c r="P48" s="104"/>
      <c r="Q48" s="105">
        <f t="shared" si="508"/>
        <v>0</v>
      </c>
      <c r="S48" s="104"/>
      <c r="T48" s="104"/>
      <c r="U48" s="104"/>
      <c r="V48" s="104"/>
      <c r="W48" s="104"/>
      <c r="X48" s="104"/>
      <c r="Y48" s="104"/>
      <c r="Z48" s="104"/>
      <c r="AA48" s="104"/>
      <c r="AB48" s="104"/>
      <c r="AC48" s="104"/>
      <c r="AD48" s="104"/>
      <c r="AE48" s="105">
        <f t="shared" si="509"/>
        <v>0</v>
      </c>
      <c r="AG48" s="104"/>
      <c r="AH48" s="104"/>
      <c r="AI48" s="104"/>
      <c r="AJ48" s="104"/>
      <c r="AK48" s="104"/>
      <c r="AL48" s="104"/>
      <c r="AM48" s="104"/>
      <c r="AN48" s="104"/>
      <c r="AO48" s="104"/>
      <c r="AP48" s="104"/>
      <c r="AQ48" s="104"/>
      <c r="AR48" s="104"/>
      <c r="AS48" s="105">
        <f t="shared" si="499"/>
        <v>0</v>
      </c>
      <c r="AU48" s="104"/>
      <c r="AV48" s="104"/>
      <c r="AW48" s="104"/>
      <c r="AX48" s="104"/>
      <c r="AY48" s="104"/>
      <c r="AZ48" s="104"/>
      <c r="BA48" s="104"/>
      <c r="BB48" s="104"/>
      <c r="BC48" s="104"/>
      <c r="BD48" s="104"/>
      <c r="BE48" s="104"/>
      <c r="BF48" s="104"/>
      <c r="BG48" s="105">
        <f t="shared" si="500"/>
        <v>0</v>
      </c>
      <c r="BI48" s="104"/>
      <c r="BJ48" s="104"/>
      <c r="BK48" s="104"/>
      <c r="BL48" s="104"/>
      <c r="BM48" s="104"/>
      <c r="BN48" s="104"/>
      <c r="BO48" s="104"/>
      <c r="BP48" s="104"/>
      <c r="BQ48" s="104"/>
      <c r="BR48" s="104"/>
      <c r="BS48" s="104"/>
      <c r="BT48" s="104"/>
      <c r="BU48" s="105">
        <f t="shared" si="501"/>
        <v>0</v>
      </c>
      <c r="BW48" s="104"/>
      <c r="BX48" s="104"/>
      <c r="BY48" s="104"/>
      <c r="BZ48" s="104"/>
      <c r="CA48" s="104"/>
      <c r="CB48" s="104"/>
      <c r="CC48" s="104"/>
      <c r="CD48" s="104"/>
      <c r="CE48" s="104"/>
      <c r="CF48" s="104"/>
      <c r="CG48" s="104"/>
      <c r="CH48" s="104"/>
      <c r="CI48" s="105">
        <f t="shared" si="502"/>
        <v>0</v>
      </c>
      <c r="CK48" s="104"/>
      <c r="CL48" s="104"/>
      <c r="CM48" s="104"/>
      <c r="CN48" s="104"/>
      <c r="CO48" s="104"/>
      <c r="CP48" s="104"/>
      <c r="CQ48" s="104"/>
      <c r="CR48" s="104"/>
      <c r="CS48" s="104"/>
      <c r="CT48" s="104"/>
      <c r="CU48" s="104"/>
      <c r="CV48" s="104"/>
      <c r="CW48" s="105">
        <f t="shared" si="503"/>
        <v>0</v>
      </c>
      <c r="CY48" s="104"/>
      <c r="CZ48" s="104"/>
      <c r="DA48" s="104"/>
      <c r="DB48" s="104"/>
      <c r="DC48" s="104"/>
      <c r="DD48" s="104"/>
      <c r="DE48" s="104"/>
      <c r="DF48" s="104"/>
      <c r="DG48" s="104"/>
      <c r="DH48" s="104"/>
      <c r="DI48" s="104"/>
      <c r="DJ48" s="104"/>
      <c r="DK48" s="105">
        <f t="shared" si="504"/>
        <v>0</v>
      </c>
      <c r="DM48" s="104"/>
      <c r="DN48" s="104"/>
      <c r="DO48" s="104"/>
      <c r="DP48" s="104"/>
      <c r="DQ48" s="104"/>
      <c r="DR48" s="104"/>
      <c r="DS48" s="104"/>
      <c r="DT48" s="104"/>
      <c r="DU48" s="104"/>
      <c r="DV48" s="104"/>
      <c r="DW48" s="104"/>
      <c r="DX48" s="104"/>
      <c r="DY48" s="105">
        <f t="shared" si="505"/>
        <v>0</v>
      </c>
      <c r="EA48" s="104"/>
      <c r="EB48" s="104"/>
      <c r="EC48" s="104"/>
      <c r="ED48" s="104"/>
      <c r="EE48" s="104"/>
      <c r="EF48" s="104"/>
      <c r="EG48" s="104"/>
      <c r="EH48" s="104"/>
      <c r="EI48" s="104"/>
      <c r="EJ48" s="104"/>
      <c r="EK48" s="104"/>
      <c r="EL48" s="104"/>
      <c r="EM48" s="105">
        <f t="shared" si="506"/>
        <v>0</v>
      </c>
      <c r="EO48" s="104"/>
      <c r="EP48" s="104"/>
      <c r="EQ48" s="104"/>
      <c r="ER48" s="104"/>
      <c r="ES48" s="104"/>
      <c r="ET48" s="104"/>
      <c r="EU48" s="104"/>
      <c r="EV48" s="104"/>
      <c r="EW48" s="104"/>
      <c r="EX48" s="104"/>
      <c r="EY48" s="104"/>
      <c r="EZ48" s="104"/>
      <c r="FA48" s="105">
        <f t="shared" si="507"/>
        <v>0</v>
      </c>
    </row>
    <row r="49" spans="3:157" x14ac:dyDescent="0.25">
      <c r="C49" s="12" t="s">
        <v>6</v>
      </c>
      <c r="E49" s="103" cm="1">
        <f t="array" aca="1" ref="E49" ca="1">SUM(INDIRECT(ADDRESS(savings_min_row, COLUMN()) &amp; ":" &amp; ADDRESS(savings_max_row, COLUMN())))</f>
        <v>1750</v>
      </c>
      <c r="F49" s="103" cm="1">
        <f t="array" aca="1" ref="F49" ca="1">SUM(INDIRECT(ADDRESS(savings_min_row, COLUMN()) &amp; ":" &amp; ADDRESS(savings_max_row, COLUMN())))</f>
        <v>1650</v>
      </c>
      <c r="G49" s="103" cm="1">
        <f t="array" aca="1" ref="G49" ca="1">SUM(INDIRECT(ADDRESS(savings_min_row, COLUMN()) &amp; ":" &amp; ADDRESS(savings_max_row, COLUMN())))</f>
        <v>1550</v>
      </c>
      <c r="H49" s="103" cm="1">
        <f t="array" aca="1" ref="H49" ca="1">SUM(INDIRECT(ADDRESS(savings_min_row, COLUMN()) &amp; ":" &amp; ADDRESS(savings_max_row, COLUMN())))</f>
        <v>1850</v>
      </c>
      <c r="I49" s="103" cm="1">
        <f t="array" aca="1" ref="I49" ca="1">SUM(INDIRECT(ADDRESS(savings_min_row, COLUMN()) &amp; ":" &amp; ADDRESS(savings_max_row, COLUMN())))</f>
        <v>2650</v>
      </c>
      <c r="J49" s="103" cm="1">
        <f t="array" aca="1" ref="J49" ca="1">SUM(INDIRECT(ADDRESS(savings_min_row, COLUMN()) &amp; ":" &amp; ADDRESS(savings_max_row, COLUMN())))</f>
        <v>2550</v>
      </c>
      <c r="K49" s="103" cm="1">
        <f t="array" aca="1" ref="K49" ca="1">SUM(INDIRECT(ADDRESS(savings_min_row, COLUMN()) &amp; ":" &amp; ADDRESS(savings_max_row, COLUMN())))</f>
        <v>2750</v>
      </c>
      <c r="L49" s="103" cm="1">
        <f t="array" aca="1" ref="L49" ca="1">SUM(INDIRECT(ADDRESS(savings_min_row, COLUMN()) &amp; ":" &amp; ADDRESS(savings_max_row, COLUMN())))</f>
        <v>1450</v>
      </c>
      <c r="M49" s="103" cm="1">
        <f t="array" aca="1" ref="M49" ca="1">SUM(INDIRECT(ADDRESS(savings_min_row, COLUMN()) &amp; ":" &amp; ADDRESS(savings_max_row, COLUMN())))</f>
        <v>2550</v>
      </c>
      <c r="N49" s="103" cm="1">
        <f t="array" aca="1" ref="N49" ca="1">SUM(INDIRECT(ADDRESS(savings_min_row, COLUMN()) &amp; ":" &amp; ADDRESS(savings_max_row, COLUMN())))</f>
        <v>2750</v>
      </c>
      <c r="O49" s="103" cm="1">
        <f t="array" aca="1" ref="O49" ca="1">SUM(INDIRECT(ADDRESS(savings_min_row, COLUMN()) &amp; ":" &amp; ADDRESS(savings_max_row, COLUMN())))</f>
        <v>2650</v>
      </c>
      <c r="P49" s="103" cm="1">
        <f t="array" aca="1" ref="P49" ca="1">SUM(INDIRECT(ADDRESS(savings_min_row, COLUMN()) &amp; ":" &amp; ADDRESS(savings_max_row, COLUMN())))</f>
        <v>2250</v>
      </c>
      <c r="Q49" s="103" cm="1">
        <f t="array" aca="1" ref="Q49" ca="1">SUM(INDIRECT(ADDRESS(savings_min_row, COLUMN()) &amp; ":" &amp; ADDRESS(savings_max_row, COLUMN())))</f>
        <v>26400</v>
      </c>
      <c r="S49" s="103" cm="1">
        <f t="array" aca="1" ref="S49" ca="1">SUM(INDIRECT(ADDRESS(savings_min_row, COLUMN()) &amp; ":" &amp; ADDRESS(savings_max_row, COLUMN())))</f>
        <v>0</v>
      </c>
      <c r="T49" s="103" cm="1">
        <f t="array" aca="1" ref="T49" ca="1">SUM(INDIRECT(ADDRESS(savings_min_row, COLUMN()) &amp; ":" &amp; ADDRESS(savings_max_row, COLUMN())))</f>
        <v>0</v>
      </c>
      <c r="U49" s="103" cm="1">
        <f t="array" aca="1" ref="U49" ca="1">SUM(INDIRECT(ADDRESS(savings_min_row, COLUMN()) &amp; ":" &amp; ADDRESS(savings_max_row, COLUMN())))</f>
        <v>0</v>
      </c>
      <c r="V49" s="103" cm="1">
        <f t="array" aca="1" ref="V49" ca="1">SUM(INDIRECT(ADDRESS(savings_min_row, COLUMN()) &amp; ":" &amp; ADDRESS(savings_max_row, COLUMN())))</f>
        <v>0</v>
      </c>
      <c r="W49" s="103" cm="1">
        <f t="array" aca="1" ref="W49" ca="1">SUM(INDIRECT(ADDRESS(savings_min_row, COLUMN()) &amp; ":" &amp; ADDRESS(savings_max_row, COLUMN())))</f>
        <v>0</v>
      </c>
      <c r="X49" s="103" cm="1">
        <f t="array" aca="1" ref="X49" ca="1">SUM(INDIRECT(ADDRESS(savings_min_row, COLUMN()) &amp; ":" &amp; ADDRESS(savings_max_row, COLUMN())))</f>
        <v>0</v>
      </c>
      <c r="Y49" s="103" cm="1">
        <f t="array" aca="1" ref="Y49" ca="1">SUM(INDIRECT(ADDRESS(savings_min_row, COLUMN()) &amp; ":" &amp; ADDRESS(savings_max_row, COLUMN())))</f>
        <v>0</v>
      </c>
      <c r="Z49" s="103" cm="1">
        <f t="array" aca="1" ref="Z49" ca="1">SUM(INDIRECT(ADDRESS(savings_min_row, COLUMN()) &amp; ":" &amp; ADDRESS(savings_max_row, COLUMN())))</f>
        <v>0</v>
      </c>
      <c r="AA49" s="103" cm="1">
        <f t="array" aca="1" ref="AA49" ca="1">SUM(INDIRECT(ADDRESS(savings_min_row, COLUMN()) &amp; ":" &amp; ADDRESS(savings_max_row, COLUMN())))</f>
        <v>0</v>
      </c>
      <c r="AB49" s="103" cm="1">
        <f t="array" aca="1" ref="AB49" ca="1">SUM(INDIRECT(ADDRESS(savings_min_row, COLUMN()) &amp; ":" &amp; ADDRESS(savings_max_row, COLUMN())))</f>
        <v>0</v>
      </c>
      <c r="AC49" s="103" cm="1">
        <f t="array" aca="1" ref="AC49" ca="1">SUM(INDIRECT(ADDRESS(savings_min_row, COLUMN()) &amp; ":" &amp; ADDRESS(savings_max_row, COLUMN())))</f>
        <v>0</v>
      </c>
      <c r="AD49" s="103" cm="1">
        <f t="array" aca="1" ref="AD49" ca="1">SUM(INDIRECT(ADDRESS(savings_min_row, COLUMN()) &amp; ":" &amp; ADDRESS(savings_max_row, COLUMN())))</f>
        <v>0</v>
      </c>
      <c r="AE49" s="103" cm="1">
        <f t="array" aca="1" ref="AE49" ca="1">SUM(INDIRECT(ADDRESS(savings_min_row, COLUMN()) &amp; ":" &amp; ADDRESS(savings_max_row, COLUMN())))</f>
        <v>0</v>
      </c>
      <c r="AG49" s="103" cm="1">
        <f t="array" aca="1" ref="AG49" ca="1">SUM(INDIRECT(ADDRESS(savings_min_row, COLUMN()) &amp; ":" &amp; ADDRESS(savings_max_row, COLUMN())))</f>
        <v>0</v>
      </c>
      <c r="AH49" s="103" cm="1">
        <f t="array" aca="1" ref="AH49" ca="1">SUM(INDIRECT(ADDRESS(savings_min_row, COLUMN()) &amp; ":" &amp; ADDRESS(savings_max_row, COLUMN())))</f>
        <v>0</v>
      </c>
      <c r="AI49" s="103" cm="1">
        <f t="array" aca="1" ref="AI49" ca="1">SUM(INDIRECT(ADDRESS(savings_min_row, COLUMN()) &amp; ":" &amp; ADDRESS(savings_max_row, COLUMN())))</f>
        <v>0</v>
      </c>
      <c r="AJ49" s="103" cm="1">
        <f t="array" aca="1" ref="AJ49" ca="1">SUM(INDIRECT(ADDRESS(savings_min_row, COLUMN()) &amp; ":" &amp; ADDRESS(savings_max_row, COLUMN())))</f>
        <v>0</v>
      </c>
      <c r="AK49" s="103" cm="1">
        <f t="array" aca="1" ref="AK49" ca="1">SUM(INDIRECT(ADDRESS(savings_min_row, COLUMN()) &amp; ":" &amp; ADDRESS(savings_max_row, COLUMN())))</f>
        <v>0</v>
      </c>
      <c r="AL49" s="103" cm="1">
        <f t="array" aca="1" ref="AL49" ca="1">SUM(INDIRECT(ADDRESS(savings_min_row, COLUMN()) &amp; ":" &amp; ADDRESS(savings_max_row, COLUMN())))</f>
        <v>0</v>
      </c>
      <c r="AM49" s="103" cm="1">
        <f t="array" aca="1" ref="AM49" ca="1">SUM(INDIRECT(ADDRESS(savings_min_row, COLUMN()) &amp; ":" &amp; ADDRESS(savings_max_row, COLUMN())))</f>
        <v>0</v>
      </c>
      <c r="AN49" s="103" cm="1">
        <f t="array" aca="1" ref="AN49" ca="1">SUM(INDIRECT(ADDRESS(savings_min_row, COLUMN()) &amp; ":" &amp; ADDRESS(savings_max_row, COLUMN())))</f>
        <v>0</v>
      </c>
      <c r="AO49" s="103" cm="1">
        <f t="array" aca="1" ref="AO49" ca="1">SUM(INDIRECT(ADDRESS(savings_min_row, COLUMN()) &amp; ":" &amp; ADDRESS(savings_max_row, COLUMN())))</f>
        <v>0</v>
      </c>
      <c r="AP49" s="103" cm="1">
        <f t="array" aca="1" ref="AP49" ca="1">SUM(INDIRECT(ADDRESS(savings_min_row, COLUMN()) &amp; ":" &amp; ADDRESS(savings_max_row, COLUMN())))</f>
        <v>0</v>
      </c>
      <c r="AQ49" s="103" cm="1">
        <f t="array" aca="1" ref="AQ49" ca="1">SUM(INDIRECT(ADDRESS(savings_min_row, COLUMN()) &amp; ":" &amp; ADDRESS(savings_max_row, COLUMN())))</f>
        <v>0</v>
      </c>
      <c r="AR49" s="103" cm="1">
        <f t="array" aca="1" ref="AR49" ca="1">SUM(INDIRECT(ADDRESS(savings_min_row, COLUMN()) &amp; ":" &amp; ADDRESS(savings_max_row, COLUMN())))</f>
        <v>0</v>
      </c>
      <c r="AS49" s="103" cm="1">
        <f t="array" aca="1" ref="AS49" ca="1">SUM(INDIRECT(ADDRESS(savings_min_row, COLUMN()) &amp; ":" &amp; ADDRESS(savings_max_row, COLUMN())))</f>
        <v>0</v>
      </c>
      <c r="AU49" s="103" cm="1">
        <f t="array" aca="1" ref="AU49" ca="1">SUM(INDIRECT(ADDRESS(savings_min_row, COLUMN()) &amp; ":" &amp; ADDRESS(savings_max_row, COLUMN())))</f>
        <v>0</v>
      </c>
      <c r="AV49" s="103" cm="1">
        <f t="array" aca="1" ref="AV49" ca="1">SUM(INDIRECT(ADDRESS(savings_min_row, COLUMN()) &amp; ":" &amp; ADDRESS(savings_max_row, COLUMN())))</f>
        <v>0</v>
      </c>
      <c r="AW49" s="103" cm="1">
        <f t="array" aca="1" ref="AW49" ca="1">SUM(INDIRECT(ADDRESS(savings_min_row, COLUMN()) &amp; ":" &amp; ADDRESS(savings_max_row, COLUMN())))</f>
        <v>0</v>
      </c>
      <c r="AX49" s="103" cm="1">
        <f t="array" aca="1" ref="AX49" ca="1">SUM(INDIRECT(ADDRESS(savings_min_row, COLUMN()) &amp; ":" &amp; ADDRESS(savings_max_row, COLUMN())))</f>
        <v>0</v>
      </c>
      <c r="AY49" s="103" cm="1">
        <f t="array" aca="1" ref="AY49" ca="1">SUM(INDIRECT(ADDRESS(savings_min_row, COLUMN()) &amp; ":" &amp; ADDRESS(savings_max_row, COLUMN())))</f>
        <v>0</v>
      </c>
      <c r="AZ49" s="103" cm="1">
        <f t="array" aca="1" ref="AZ49" ca="1">SUM(INDIRECT(ADDRESS(savings_min_row, COLUMN()) &amp; ":" &amp; ADDRESS(savings_max_row, COLUMN())))</f>
        <v>0</v>
      </c>
      <c r="BA49" s="103" cm="1">
        <f t="array" aca="1" ref="BA49" ca="1">SUM(INDIRECT(ADDRESS(savings_min_row, COLUMN()) &amp; ":" &amp; ADDRESS(savings_max_row, COLUMN())))</f>
        <v>0</v>
      </c>
      <c r="BB49" s="103" cm="1">
        <f t="array" aca="1" ref="BB49" ca="1">SUM(INDIRECT(ADDRESS(savings_min_row, COLUMN()) &amp; ":" &amp; ADDRESS(savings_max_row, COLUMN())))</f>
        <v>0</v>
      </c>
      <c r="BC49" s="103" cm="1">
        <f t="array" aca="1" ref="BC49" ca="1">SUM(INDIRECT(ADDRESS(savings_min_row, COLUMN()) &amp; ":" &amp; ADDRESS(savings_max_row, COLUMN())))</f>
        <v>0</v>
      </c>
      <c r="BD49" s="103" cm="1">
        <f t="array" aca="1" ref="BD49" ca="1">SUM(INDIRECT(ADDRESS(savings_min_row, COLUMN()) &amp; ":" &amp; ADDRESS(savings_max_row, COLUMN())))</f>
        <v>0</v>
      </c>
      <c r="BE49" s="103" cm="1">
        <f t="array" aca="1" ref="BE49" ca="1">SUM(INDIRECT(ADDRESS(savings_min_row, COLUMN()) &amp; ":" &amp; ADDRESS(savings_max_row, COLUMN())))</f>
        <v>0</v>
      </c>
      <c r="BF49" s="103" cm="1">
        <f t="array" aca="1" ref="BF49" ca="1">SUM(INDIRECT(ADDRESS(savings_min_row, COLUMN()) &amp; ":" &amp; ADDRESS(savings_max_row, COLUMN())))</f>
        <v>0</v>
      </c>
      <c r="BG49" s="103" cm="1">
        <f t="array" aca="1" ref="BG49" ca="1">SUM(INDIRECT(ADDRESS(savings_min_row, COLUMN()) &amp; ":" &amp; ADDRESS(savings_max_row, COLUMN())))</f>
        <v>0</v>
      </c>
      <c r="BI49" s="103" cm="1">
        <f t="array" aca="1" ref="BI49" ca="1">SUM(INDIRECT(ADDRESS(savings_min_row, COLUMN()) &amp; ":" &amp; ADDRESS(savings_max_row, COLUMN())))</f>
        <v>0</v>
      </c>
      <c r="BJ49" s="103" cm="1">
        <f t="array" aca="1" ref="BJ49" ca="1">SUM(INDIRECT(ADDRESS(savings_min_row, COLUMN()) &amp; ":" &amp; ADDRESS(savings_max_row, COLUMN())))</f>
        <v>0</v>
      </c>
      <c r="BK49" s="103" cm="1">
        <f t="array" aca="1" ref="BK49" ca="1">SUM(INDIRECT(ADDRESS(savings_min_row, COLUMN()) &amp; ":" &amp; ADDRESS(savings_max_row, COLUMN())))</f>
        <v>0</v>
      </c>
      <c r="BL49" s="103" cm="1">
        <f t="array" aca="1" ref="BL49" ca="1">SUM(INDIRECT(ADDRESS(savings_min_row, COLUMN()) &amp; ":" &amp; ADDRESS(savings_max_row, COLUMN())))</f>
        <v>0</v>
      </c>
      <c r="BM49" s="103" cm="1">
        <f t="array" aca="1" ref="BM49" ca="1">SUM(INDIRECT(ADDRESS(savings_min_row, COLUMN()) &amp; ":" &amp; ADDRESS(savings_max_row, COLUMN())))</f>
        <v>0</v>
      </c>
      <c r="BN49" s="103" cm="1">
        <f t="array" aca="1" ref="BN49" ca="1">SUM(INDIRECT(ADDRESS(savings_min_row, COLUMN()) &amp; ":" &amp; ADDRESS(savings_max_row, COLUMN())))</f>
        <v>0</v>
      </c>
      <c r="BO49" s="103" cm="1">
        <f t="array" aca="1" ref="BO49" ca="1">SUM(INDIRECT(ADDRESS(savings_min_row, COLUMN()) &amp; ":" &amp; ADDRESS(savings_max_row, COLUMN())))</f>
        <v>0</v>
      </c>
      <c r="BP49" s="103" cm="1">
        <f t="array" aca="1" ref="BP49" ca="1">SUM(INDIRECT(ADDRESS(savings_min_row, COLUMN()) &amp; ":" &amp; ADDRESS(savings_max_row, COLUMN())))</f>
        <v>0</v>
      </c>
      <c r="BQ49" s="103" cm="1">
        <f t="array" aca="1" ref="BQ49" ca="1">SUM(INDIRECT(ADDRESS(savings_min_row, COLUMN()) &amp; ":" &amp; ADDRESS(savings_max_row, COLUMN())))</f>
        <v>0</v>
      </c>
      <c r="BR49" s="103" cm="1">
        <f t="array" aca="1" ref="BR49" ca="1">SUM(INDIRECT(ADDRESS(savings_min_row, COLUMN()) &amp; ":" &amp; ADDRESS(savings_max_row, COLUMN())))</f>
        <v>0</v>
      </c>
      <c r="BS49" s="103" cm="1">
        <f t="array" aca="1" ref="BS49" ca="1">SUM(INDIRECT(ADDRESS(savings_min_row, COLUMN()) &amp; ":" &amp; ADDRESS(savings_max_row, COLUMN())))</f>
        <v>0</v>
      </c>
      <c r="BT49" s="103" cm="1">
        <f t="array" aca="1" ref="BT49" ca="1">SUM(INDIRECT(ADDRESS(savings_min_row, COLUMN()) &amp; ":" &amp; ADDRESS(savings_max_row, COLUMN())))</f>
        <v>0</v>
      </c>
      <c r="BU49" s="103" cm="1">
        <f t="array" aca="1" ref="BU49" ca="1">SUM(INDIRECT(ADDRESS(savings_min_row, COLUMN()) &amp; ":" &amp; ADDRESS(savings_max_row, COLUMN())))</f>
        <v>0</v>
      </c>
      <c r="BW49" s="103" cm="1">
        <f t="array" aca="1" ref="BW49" ca="1">SUM(INDIRECT(ADDRESS(savings_min_row, COLUMN()) &amp; ":" &amp; ADDRESS(savings_max_row, COLUMN())))</f>
        <v>0</v>
      </c>
      <c r="BX49" s="103" cm="1">
        <f t="array" aca="1" ref="BX49" ca="1">SUM(INDIRECT(ADDRESS(savings_min_row, COLUMN()) &amp; ":" &amp; ADDRESS(savings_max_row, COLUMN())))</f>
        <v>0</v>
      </c>
      <c r="BY49" s="103" cm="1">
        <f t="array" aca="1" ref="BY49" ca="1">SUM(INDIRECT(ADDRESS(savings_min_row, COLUMN()) &amp; ":" &amp; ADDRESS(savings_max_row, COLUMN())))</f>
        <v>0</v>
      </c>
      <c r="BZ49" s="103" cm="1">
        <f t="array" aca="1" ref="BZ49" ca="1">SUM(INDIRECT(ADDRESS(savings_min_row, COLUMN()) &amp; ":" &amp; ADDRESS(savings_max_row, COLUMN())))</f>
        <v>0</v>
      </c>
      <c r="CA49" s="103" cm="1">
        <f t="array" aca="1" ref="CA49" ca="1">SUM(INDIRECT(ADDRESS(savings_min_row, COLUMN()) &amp; ":" &amp; ADDRESS(savings_max_row, COLUMN())))</f>
        <v>0</v>
      </c>
      <c r="CB49" s="103" cm="1">
        <f t="array" aca="1" ref="CB49" ca="1">SUM(INDIRECT(ADDRESS(savings_min_row, COLUMN()) &amp; ":" &amp; ADDRESS(savings_max_row, COLUMN())))</f>
        <v>0</v>
      </c>
      <c r="CC49" s="103" cm="1">
        <f t="array" aca="1" ref="CC49" ca="1">SUM(INDIRECT(ADDRESS(savings_min_row, COLUMN()) &amp; ":" &amp; ADDRESS(savings_max_row, COLUMN())))</f>
        <v>0</v>
      </c>
      <c r="CD49" s="103" cm="1">
        <f t="array" aca="1" ref="CD49" ca="1">SUM(INDIRECT(ADDRESS(savings_min_row, COLUMN()) &amp; ":" &amp; ADDRESS(savings_max_row, COLUMN())))</f>
        <v>0</v>
      </c>
      <c r="CE49" s="103" cm="1">
        <f t="array" aca="1" ref="CE49" ca="1">SUM(INDIRECT(ADDRESS(savings_min_row, COLUMN()) &amp; ":" &amp; ADDRESS(savings_max_row, COLUMN())))</f>
        <v>0</v>
      </c>
      <c r="CF49" s="103" cm="1">
        <f t="array" aca="1" ref="CF49" ca="1">SUM(INDIRECT(ADDRESS(savings_min_row, COLUMN()) &amp; ":" &amp; ADDRESS(savings_max_row, COLUMN())))</f>
        <v>0</v>
      </c>
      <c r="CG49" s="103" cm="1">
        <f t="array" aca="1" ref="CG49" ca="1">SUM(INDIRECT(ADDRESS(savings_min_row, COLUMN()) &amp; ":" &amp; ADDRESS(savings_max_row, COLUMN())))</f>
        <v>0</v>
      </c>
      <c r="CH49" s="103" cm="1">
        <f t="array" aca="1" ref="CH49" ca="1">SUM(INDIRECT(ADDRESS(savings_min_row, COLUMN()) &amp; ":" &amp; ADDRESS(savings_max_row, COLUMN())))</f>
        <v>0</v>
      </c>
      <c r="CI49" s="103" cm="1">
        <f t="array" aca="1" ref="CI49" ca="1">SUM(INDIRECT(ADDRESS(savings_min_row, COLUMN()) &amp; ":" &amp; ADDRESS(savings_max_row, COLUMN())))</f>
        <v>0</v>
      </c>
      <c r="CK49" s="103" cm="1">
        <f t="array" aca="1" ref="CK49" ca="1">SUM(INDIRECT(ADDRESS(savings_min_row, COLUMN()) &amp; ":" &amp; ADDRESS(savings_max_row, COLUMN())))</f>
        <v>0</v>
      </c>
      <c r="CL49" s="103" cm="1">
        <f t="array" aca="1" ref="CL49" ca="1">SUM(INDIRECT(ADDRESS(savings_min_row, COLUMN()) &amp; ":" &amp; ADDRESS(savings_max_row, COLUMN())))</f>
        <v>0</v>
      </c>
      <c r="CM49" s="103" cm="1">
        <f t="array" aca="1" ref="CM49" ca="1">SUM(INDIRECT(ADDRESS(savings_min_row, COLUMN()) &amp; ":" &amp; ADDRESS(savings_max_row, COLUMN())))</f>
        <v>0</v>
      </c>
      <c r="CN49" s="103" cm="1">
        <f t="array" aca="1" ref="CN49" ca="1">SUM(INDIRECT(ADDRESS(savings_min_row, COLUMN()) &amp; ":" &amp; ADDRESS(savings_max_row, COLUMN())))</f>
        <v>0</v>
      </c>
      <c r="CO49" s="103" cm="1">
        <f t="array" aca="1" ref="CO49" ca="1">SUM(INDIRECT(ADDRESS(savings_min_row, COLUMN()) &amp; ":" &amp; ADDRESS(savings_max_row, COLUMN())))</f>
        <v>0</v>
      </c>
      <c r="CP49" s="103" cm="1">
        <f t="array" aca="1" ref="CP49" ca="1">SUM(INDIRECT(ADDRESS(savings_min_row, COLUMN()) &amp; ":" &amp; ADDRESS(savings_max_row, COLUMN())))</f>
        <v>0</v>
      </c>
      <c r="CQ49" s="103" cm="1">
        <f t="array" aca="1" ref="CQ49" ca="1">SUM(INDIRECT(ADDRESS(savings_min_row, COLUMN()) &amp; ":" &amp; ADDRESS(savings_max_row, COLUMN())))</f>
        <v>0</v>
      </c>
      <c r="CR49" s="103" cm="1">
        <f t="array" aca="1" ref="CR49" ca="1">SUM(INDIRECT(ADDRESS(savings_min_row, COLUMN()) &amp; ":" &amp; ADDRESS(savings_max_row, COLUMN())))</f>
        <v>0</v>
      </c>
      <c r="CS49" s="103" cm="1">
        <f t="array" aca="1" ref="CS49" ca="1">SUM(INDIRECT(ADDRESS(savings_min_row, COLUMN()) &amp; ":" &amp; ADDRESS(savings_max_row, COLUMN())))</f>
        <v>0</v>
      </c>
      <c r="CT49" s="103" cm="1">
        <f t="array" aca="1" ref="CT49" ca="1">SUM(INDIRECT(ADDRESS(savings_min_row, COLUMN()) &amp; ":" &amp; ADDRESS(savings_max_row, COLUMN())))</f>
        <v>0</v>
      </c>
      <c r="CU49" s="103" cm="1">
        <f t="array" aca="1" ref="CU49" ca="1">SUM(INDIRECT(ADDRESS(savings_min_row, COLUMN()) &amp; ":" &amp; ADDRESS(savings_max_row, COLUMN())))</f>
        <v>0</v>
      </c>
      <c r="CV49" s="103" cm="1">
        <f t="array" aca="1" ref="CV49" ca="1">SUM(INDIRECT(ADDRESS(savings_min_row, COLUMN()) &amp; ":" &amp; ADDRESS(savings_max_row, COLUMN())))</f>
        <v>0</v>
      </c>
      <c r="CW49" s="103" cm="1">
        <f t="array" aca="1" ref="CW49" ca="1">SUM(INDIRECT(ADDRESS(savings_min_row, COLUMN()) &amp; ":" &amp; ADDRESS(savings_max_row, COLUMN())))</f>
        <v>0</v>
      </c>
      <c r="CY49" s="103" cm="1">
        <f t="array" aca="1" ref="CY49" ca="1">SUM(INDIRECT(ADDRESS(savings_min_row, COLUMN()) &amp; ":" &amp; ADDRESS(savings_max_row, COLUMN())))</f>
        <v>0</v>
      </c>
      <c r="CZ49" s="103" cm="1">
        <f t="array" aca="1" ref="CZ49" ca="1">SUM(INDIRECT(ADDRESS(savings_min_row, COLUMN()) &amp; ":" &amp; ADDRESS(savings_max_row, COLUMN())))</f>
        <v>0</v>
      </c>
      <c r="DA49" s="103" cm="1">
        <f t="array" aca="1" ref="DA49" ca="1">SUM(INDIRECT(ADDRESS(savings_min_row, COLUMN()) &amp; ":" &amp; ADDRESS(savings_max_row, COLUMN())))</f>
        <v>0</v>
      </c>
      <c r="DB49" s="103" cm="1">
        <f t="array" aca="1" ref="DB49" ca="1">SUM(INDIRECT(ADDRESS(savings_min_row, COLUMN()) &amp; ":" &amp; ADDRESS(savings_max_row, COLUMN())))</f>
        <v>0</v>
      </c>
      <c r="DC49" s="103" cm="1">
        <f t="array" aca="1" ref="DC49" ca="1">SUM(INDIRECT(ADDRESS(savings_min_row, COLUMN()) &amp; ":" &amp; ADDRESS(savings_max_row, COLUMN())))</f>
        <v>0</v>
      </c>
      <c r="DD49" s="103" cm="1">
        <f t="array" aca="1" ref="DD49" ca="1">SUM(INDIRECT(ADDRESS(savings_min_row, COLUMN()) &amp; ":" &amp; ADDRESS(savings_max_row, COLUMN())))</f>
        <v>0</v>
      </c>
      <c r="DE49" s="103" cm="1">
        <f t="array" aca="1" ref="DE49" ca="1">SUM(INDIRECT(ADDRESS(savings_min_row, COLUMN()) &amp; ":" &amp; ADDRESS(savings_max_row, COLUMN())))</f>
        <v>0</v>
      </c>
      <c r="DF49" s="103" cm="1">
        <f t="array" aca="1" ref="DF49" ca="1">SUM(INDIRECT(ADDRESS(savings_min_row, COLUMN()) &amp; ":" &amp; ADDRESS(savings_max_row, COLUMN())))</f>
        <v>0</v>
      </c>
      <c r="DG49" s="103" cm="1">
        <f t="array" aca="1" ref="DG49" ca="1">SUM(INDIRECT(ADDRESS(savings_min_row, COLUMN()) &amp; ":" &amp; ADDRESS(savings_max_row, COLUMN())))</f>
        <v>0</v>
      </c>
      <c r="DH49" s="103" cm="1">
        <f t="array" aca="1" ref="DH49" ca="1">SUM(INDIRECT(ADDRESS(savings_min_row, COLUMN()) &amp; ":" &amp; ADDRESS(savings_max_row, COLUMN())))</f>
        <v>0</v>
      </c>
      <c r="DI49" s="103" cm="1">
        <f t="array" aca="1" ref="DI49" ca="1">SUM(INDIRECT(ADDRESS(savings_min_row, COLUMN()) &amp; ":" &amp; ADDRESS(savings_max_row, COLUMN())))</f>
        <v>0</v>
      </c>
      <c r="DJ49" s="103" cm="1">
        <f t="array" aca="1" ref="DJ49" ca="1">SUM(INDIRECT(ADDRESS(savings_min_row, COLUMN()) &amp; ":" &amp; ADDRESS(savings_max_row, COLUMN())))</f>
        <v>0</v>
      </c>
      <c r="DK49" s="103" cm="1">
        <f t="array" aca="1" ref="DK49" ca="1">SUM(INDIRECT(ADDRESS(savings_min_row, COLUMN()) &amp; ":" &amp; ADDRESS(savings_max_row, COLUMN())))</f>
        <v>0</v>
      </c>
      <c r="DM49" s="103" cm="1">
        <f t="array" aca="1" ref="DM49" ca="1">SUM(INDIRECT(ADDRESS(savings_min_row, COLUMN()) &amp; ":" &amp; ADDRESS(savings_max_row, COLUMN())))</f>
        <v>0</v>
      </c>
      <c r="DN49" s="103" cm="1">
        <f t="array" aca="1" ref="DN49" ca="1">SUM(INDIRECT(ADDRESS(savings_min_row, COLUMN()) &amp; ":" &amp; ADDRESS(savings_max_row, COLUMN())))</f>
        <v>0</v>
      </c>
      <c r="DO49" s="103" cm="1">
        <f t="array" aca="1" ref="DO49" ca="1">SUM(INDIRECT(ADDRESS(savings_min_row, COLUMN()) &amp; ":" &amp; ADDRESS(savings_max_row, COLUMN())))</f>
        <v>0</v>
      </c>
      <c r="DP49" s="103" cm="1">
        <f t="array" aca="1" ref="DP49" ca="1">SUM(INDIRECT(ADDRESS(savings_min_row, COLUMN()) &amp; ":" &amp; ADDRESS(savings_max_row, COLUMN())))</f>
        <v>0</v>
      </c>
      <c r="DQ49" s="103" cm="1">
        <f t="array" aca="1" ref="DQ49" ca="1">SUM(INDIRECT(ADDRESS(savings_min_row, COLUMN()) &amp; ":" &amp; ADDRESS(savings_max_row, COLUMN())))</f>
        <v>0</v>
      </c>
      <c r="DR49" s="103" cm="1">
        <f t="array" aca="1" ref="DR49" ca="1">SUM(INDIRECT(ADDRESS(savings_min_row, COLUMN()) &amp; ":" &amp; ADDRESS(savings_max_row, COLUMN())))</f>
        <v>0</v>
      </c>
      <c r="DS49" s="103" cm="1">
        <f t="array" aca="1" ref="DS49" ca="1">SUM(INDIRECT(ADDRESS(savings_min_row, COLUMN()) &amp; ":" &amp; ADDRESS(savings_max_row, COLUMN())))</f>
        <v>0</v>
      </c>
      <c r="DT49" s="103" cm="1">
        <f t="array" aca="1" ref="DT49" ca="1">SUM(INDIRECT(ADDRESS(savings_min_row, COLUMN()) &amp; ":" &amp; ADDRESS(savings_max_row, COLUMN())))</f>
        <v>0</v>
      </c>
      <c r="DU49" s="103" cm="1">
        <f t="array" aca="1" ref="DU49" ca="1">SUM(INDIRECT(ADDRESS(savings_min_row, COLUMN()) &amp; ":" &amp; ADDRESS(savings_max_row, COLUMN())))</f>
        <v>0</v>
      </c>
      <c r="DV49" s="103" cm="1">
        <f t="array" aca="1" ref="DV49" ca="1">SUM(INDIRECT(ADDRESS(savings_min_row, COLUMN()) &amp; ":" &amp; ADDRESS(savings_max_row, COLUMN())))</f>
        <v>0</v>
      </c>
      <c r="DW49" s="103" cm="1">
        <f t="array" aca="1" ref="DW49" ca="1">SUM(INDIRECT(ADDRESS(savings_min_row, COLUMN()) &amp; ":" &amp; ADDRESS(savings_max_row, COLUMN())))</f>
        <v>0</v>
      </c>
      <c r="DX49" s="103" cm="1">
        <f t="array" aca="1" ref="DX49" ca="1">SUM(INDIRECT(ADDRESS(savings_min_row, COLUMN()) &amp; ":" &amp; ADDRESS(savings_max_row, COLUMN())))</f>
        <v>0</v>
      </c>
      <c r="DY49" s="103" cm="1">
        <f t="array" aca="1" ref="DY49" ca="1">SUM(INDIRECT(ADDRESS(savings_min_row, COLUMN()) &amp; ":" &amp; ADDRESS(savings_max_row, COLUMN())))</f>
        <v>0</v>
      </c>
      <c r="EA49" s="103" cm="1">
        <f t="array" aca="1" ref="EA49" ca="1">SUM(INDIRECT(ADDRESS(savings_min_row, COLUMN()) &amp; ":" &amp; ADDRESS(savings_max_row, COLUMN())))</f>
        <v>0</v>
      </c>
      <c r="EB49" s="103" cm="1">
        <f t="array" aca="1" ref="EB49" ca="1">SUM(INDIRECT(ADDRESS(savings_min_row, COLUMN()) &amp; ":" &amp; ADDRESS(savings_max_row, COLUMN())))</f>
        <v>0</v>
      </c>
      <c r="EC49" s="103" cm="1">
        <f t="array" aca="1" ref="EC49" ca="1">SUM(INDIRECT(ADDRESS(savings_min_row, COLUMN()) &amp; ":" &amp; ADDRESS(savings_max_row, COLUMN())))</f>
        <v>0</v>
      </c>
      <c r="ED49" s="103" cm="1">
        <f t="array" aca="1" ref="ED49" ca="1">SUM(INDIRECT(ADDRESS(savings_min_row, COLUMN()) &amp; ":" &amp; ADDRESS(savings_max_row, COLUMN())))</f>
        <v>0</v>
      </c>
      <c r="EE49" s="103" cm="1">
        <f t="array" aca="1" ref="EE49" ca="1">SUM(INDIRECT(ADDRESS(savings_min_row, COLUMN()) &amp; ":" &amp; ADDRESS(savings_max_row, COLUMN())))</f>
        <v>0</v>
      </c>
      <c r="EF49" s="103" cm="1">
        <f t="array" aca="1" ref="EF49" ca="1">SUM(INDIRECT(ADDRESS(savings_min_row, COLUMN()) &amp; ":" &amp; ADDRESS(savings_max_row, COLUMN())))</f>
        <v>0</v>
      </c>
      <c r="EG49" s="103" cm="1">
        <f t="array" aca="1" ref="EG49" ca="1">SUM(INDIRECT(ADDRESS(savings_min_row, COLUMN()) &amp; ":" &amp; ADDRESS(savings_max_row, COLUMN())))</f>
        <v>0</v>
      </c>
      <c r="EH49" s="103" cm="1">
        <f t="array" aca="1" ref="EH49" ca="1">SUM(INDIRECT(ADDRESS(savings_min_row, COLUMN()) &amp; ":" &amp; ADDRESS(savings_max_row, COLUMN())))</f>
        <v>0</v>
      </c>
      <c r="EI49" s="103" cm="1">
        <f t="array" aca="1" ref="EI49" ca="1">SUM(INDIRECT(ADDRESS(savings_min_row, COLUMN()) &amp; ":" &amp; ADDRESS(savings_max_row, COLUMN())))</f>
        <v>0</v>
      </c>
      <c r="EJ49" s="103" cm="1">
        <f t="array" aca="1" ref="EJ49" ca="1">SUM(INDIRECT(ADDRESS(savings_min_row, COLUMN()) &amp; ":" &amp; ADDRESS(savings_max_row, COLUMN())))</f>
        <v>0</v>
      </c>
      <c r="EK49" s="103" cm="1">
        <f t="array" aca="1" ref="EK49" ca="1">SUM(INDIRECT(ADDRESS(savings_min_row, COLUMN()) &amp; ":" &amp; ADDRESS(savings_max_row, COLUMN())))</f>
        <v>0</v>
      </c>
      <c r="EL49" s="103" cm="1">
        <f t="array" aca="1" ref="EL49" ca="1">SUM(INDIRECT(ADDRESS(savings_min_row, COLUMN()) &amp; ":" &amp; ADDRESS(savings_max_row, COLUMN())))</f>
        <v>0</v>
      </c>
      <c r="EM49" s="103" cm="1">
        <f t="array" aca="1" ref="EM49" ca="1">SUM(INDIRECT(ADDRESS(savings_min_row, COLUMN()) &amp; ":" &amp; ADDRESS(savings_max_row, COLUMN())))</f>
        <v>0</v>
      </c>
      <c r="EO49" s="103" cm="1">
        <f t="array" aca="1" ref="EO49" ca="1">SUM(INDIRECT(ADDRESS(savings_min_row, COLUMN()) &amp; ":" &amp; ADDRESS(savings_max_row, COLUMN())))</f>
        <v>0</v>
      </c>
      <c r="EP49" s="103" cm="1">
        <f t="array" aca="1" ref="EP49" ca="1">SUM(INDIRECT(ADDRESS(savings_min_row, COLUMN()) &amp; ":" &amp; ADDRESS(savings_max_row, COLUMN())))</f>
        <v>0</v>
      </c>
      <c r="EQ49" s="103" cm="1">
        <f t="array" aca="1" ref="EQ49" ca="1">SUM(INDIRECT(ADDRESS(savings_min_row, COLUMN()) &amp; ":" &amp; ADDRESS(savings_max_row, COLUMN())))</f>
        <v>0</v>
      </c>
      <c r="ER49" s="103" cm="1">
        <f t="array" aca="1" ref="ER49" ca="1">SUM(INDIRECT(ADDRESS(savings_min_row, COLUMN()) &amp; ":" &amp; ADDRESS(savings_max_row, COLUMN())))</f>
        <v>0</v>
      </c>
      <c r="ES49" s="103" cm="1">
        <f t="array" aca="1" ref="ES49" ca="1">SUM(INDIRECT(ADDRESS(savings_min_row, COLUMN()) &amp; ":" &amp; ADDRESS(savings_max_row, COLUMN())))</f>
        <v>0</v>
      </c>
      <c r="ET49" s="103" cm="1">
        <f t="array" aca="1" ref="ET49" ca="1">SUM(INDIRECT(ADDRESS(savings_min_row, COLUMN()) &amp; ":" &amp; ADDRESS(savings_max_row, COLUMN())))</f>
        <v>0</v>
      </c>
      <c r="EU49" s="103" cm="1">
        <f t="array" aca="1" ref="EU49" ca="1">SUM(INDIRECT(ADDRESS(savings_min_row, COLUMN()) &amp; ":" &amp; ADDRESS(savings_max_row, COLUMN())))</f>
        <v>0</v>
      </c>
      <c r="EV49" s="103" cm="1">
        <f t="array" aca="1" ref="EV49" ca="1">SUM(INDIRECT(ADDRESS(savings_min_row, COLUMN()) &amp; ":" &amp; ADDRESS(savings_max_row, COLUMN())))</f>
        <v>0</v>
      </c>
      <c r="EW49" s="103" cm="1">
        <f t="array" aca="1" ref="EW49" ca="1">SUM(INDIRECT(ADDRESS(savings_min_row, COLUMN()) &amp; ":" &amp; ADDRESS(savings_max_row, COLUMN())))</f>
        <v>0</v>
      </c>
      <c r="EX49" s="103" cm="1">
        <f t="array" aca="1" ref="EX49" ca="1">SUM(INDIRECT(ADDRESS(savings_min_row, COLUMN()) &amp; ":" &amp; ADDRESS(savings_max_row, COLUMN())))</f>
        <v>0</v>
      </c>
      <c r="EY49" s="103" cm="1">
        <f t="array" aca="1" ref="EY49" ca="1">SUM(INDIRECT(ADDRESS(savings_min_row, COLUMN()) &amp; ":" &amp; ADDRESS(savings_max_row, COLUMN())))</f>
        <v>0</v>
      </c>
      <c r="EZ49" s="103" cm="1">
        <f t="array" aca="1" ref="EZ49" ca="1">SUM(INDIRECT(ADDRESS(savings_min_row, COLUMN()) &amp; ":" &amp; ADDRESS(savings_max_row, COLUMN())))</f>
        <v>0</v>
      </c>
      <c r="FA49" s="103" cm="1">
        <f t="array" aca="1" ref="FA49" ca="1">SUM(INDIRECT(ADDRESS(savings_min_row, COLUMN()) &amp; ":" &amp; ADDRESS(savings_max_row, COLUMN())))</f>
        <v>0</v>
      </c>
    </row>
  </sheetData>
  <mergeCells count="11">
    <mergeCell ref="DM5:DY5"/>
    <mergeCell ref="EA5:EM5"/>
    <mergeCell ref="EO5:FA5"/>
    <mergeCell ref="E5:Q5"/>
    <mergeCell ref="S5:AE5"/>
    <mergeCell ref="AG5:AS5"/>
    <mergeCell ref="AU5:BG5"/>
    <mergeCell ref="BI5:BU5"/>
    <mergeCell ref="BW5:CI5"/>
    <mergeCell ref="CK5:CW5"/>
    <mergeCell ref="CY5:DK5"/>
  </mergeCells>
  <conditionalFormatting sqref="C10:C19 E10:Q19 S10:AE19 AG10:AS19 AU10:BG19 BI10:BU19 BW10:CI19 CK10:CW19 CY10:DK19 DM10:DY19 EA10:EM19 EO10:FA19">
    <cfRule type="expression" dxfId="40" priority="6">
      <formula>ROW(A10)&lt;=income_max_row</formula>
    </cfRule>
  </conditionalFormatting>
  <conditionalFormatting sqref="C23:C35 E23:Q35 S23:AE35 AG23:AS35 AU23:BG35 BI23:BU35 BW23:CI35 CK23:CW35 CY23:DK35 DM23:DY35 EA23:EM35 EO23:FA35">
    <cfRule type="expression" dxfId="39" priority="5">
      <formula>ROW(A23)&lt;=expenses_max_row</formula>
    </cfRule>
  </conditionalFormatting>
  <conditionalFormatting sqref="C39:C48 E39:Q48 S39:AE48 AG39:AS48 AU39:BG48 BI39:BU48 BW39:CI48 CK39:CW48 CY39:DK48 DM39:DY48 EA39:EM48 EO39:FA48">
    <cfRule type="expression" dxfId="38" priority="4">
      <formula>ROW(A39)&lt;=savings_max_row</formula>
    </cfRule>
  </conditionalFormatting>
  <conditionalFormatting sqref="E6:Q7 S6:AE7 AG6:AS7 AU6:BG7 BI6:BU7 BW6:CI7 CK6:CW7 CY6:DK7 DM6:DY7 EA6:EM7 EO6:FA7">
    <cfRule type="expression" dxfId="37" priority="1" stopIfTrue="1">
      <formula>AND(E$20=0, E$36=0, E$49=0)</formula>
    </cfRule>
    <cfRule type="expression" dxfId="36" priority="2" stopIfTrue="1">
      <formula>E$7=0</formula>
    </cfRule>
    <cfRule type="expression" dxfId="35" priority="3">
      <formula>E$7&lt;0</formula>
    </cfRule>
  </conditionalFormatting>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0B7C-742E-42A2-A691-3F4280735AB3}">
  <sheetPr>
    <tabColor theme="8" tint="-0.249977111117893"/>
  </sheetPr>
  <dimension ref="C1:K200"/>
  <sheetViews>
    <sheetView showGridLines="0" zoomScale="95" zoomScaleNormal="100" workbookViewId="0">
      <pane ySplit="11" topLeftCell="A12" activePane="bottomLeft" state="frozen"/>
      <selection pane="bottomLeft" activeCell="K199" sqref="K199"/>
    </sheetView>
  </sheetViews>
  <sheetFormatPr defaultRowHeight="15" x14ac:dyDescent="0.25"/>
  <cols>
    <col min="1" max="1" width="4.42578125" customWidth="1"/>
    <col min="2" max="2" width="1.5703125" customWidth="1"/>
    <col min="3" max="3" width="10" customWidth="1"/>
    <col min="4" max="4" width="12.5703125" customWidth="1"/>
    <col min="5" max="5" width="20.42578125" customWidth="1"/>
    <col min="6" max="6" width="16.28515625" customWidth="1"/>
    <col min="7" max="7" width="52.28515625" customWidth="1"/>
    <col min="8" max="8" width="13.5703125" customWidth="1"/>
    <col min="9" max="9" width="16.85546875" customWidth="1"/>
    <col min="11" max="11" width="9.7109375" bestFit="1" customWidth="1"/>
  </cols>
  <sheetData>
    <row r="1" spans="3:11" s="22" customFormat="1" ht="7.5" customHeight="1" x14ac:dyDescent="0.25"/>
    <row r="2" spans="3:11" s="22" customFormat="1" ht="25.5" customHeight="1" x14ac:dyDescent="0.25"/>
    <row r="3" spans="3:11" s="22" customFormat="1" ht="7.5" customHeight="1" x14ac:dyDescent="0.25"/>
    <row r="11" spans="3:11" x14ac:dyDescent="0.25">
      <c r="C11" s="24" t="s">
        <v>27</v>
      </c>
      <c r="D11" s="24" t="s">
        <v>28</v>
      </c>
      <c r="E11" s="24" t="s">
        <v>29</v>
      </c>
      <c r="F11" s="24" t="s">
        <v>30</v>
      </c>
      <c r="G11" s="24" t="s">
        <v>31</v>
      </c>
      <c r="H11" s="28" t="s">
        <v>34</v>
      </c>
      <c r="I11" s="28" t="s">
        <v>35</v>
      </c>
    </row>
    <row r="12" spans="3:11" x14ac:dyDescent="0.25">
      <c r="C12" s="26">
        <v>45651</v>
      </c>
      <c r="D12" s="25" t="s">
        <v>4</v>
      </c>
      <c r="E12" s="25" t="s">
        <v>32</v>
      </c>
      <c r="F12" s="106">
        <v>3500</v>
      </c>
      <c r="G12" s="27"/>
      <c r="H12" s="109" cm="1">
        <f t="array" ref="H12">SUMPRODUCT(Tracking[Amount], --(Tracking[[Date ]]&lt;=Tracking[[#This Row],[Date ]]), (Tracking[Type]&lt;&gt;"Income")*(-1) + (Tracking[Type]="Income"))</f>
        <v>3500</v>
      </c>
      <c r="I12" s="30">
        <f>IF(AND(Tracking[[#This Row],[Type]]="Income", shift_late_income_status="Yes(Active)", DAY(Tracking[[#This Row],[Date ]])&gt;=shift_late_income_starting_day), DATE(YEAR(Tracking[[#This Row],[Date ]]), MONTH(Tracking[[#This Row],[Date ]])+1, 1), Tracking[[#This Row],[Date ]])</f>
        <v>45658</v>
      </c>
      <c r="K12" s="43"/>
    </row>
    <row r="13" spans="3:11" x14ac:dyDescent="0.25">
      <c r="C13" s="26">
        <v>45659</v>
      </c>
      <c r="D13" s="25" t="s">
        <v>8</v>
      </c>
      <c r="E13" s="25" t="s">
        <v>9</v>
      </c>
      <c r="F13" s="106">
        <v>1200</v>
      </c>
      <c r="G13" s="27"/>
      <c r="H13" s="109" cm="1">
        <f t="array" ref="H13">SUMPRODUCT(Tracking[Amount], --(Tracking[[Date ]]&lt;=Tracking[[#This Row],[Date ]]), (Tracking[Type]&lt;&gt;"Income")*(-1) + (Tracking[Type]="Income"))</f>
        <v>2300</v>
      </c>
      <c r="I13" s="30">
        <f>IF(AND(Tracking[[#This Row],[Type]]="Income", shift_late_income_status="Yes(Active)", DAY(Tracking[[#This Row],[Date ]])&gt;=shift_late_income_starting_day), DATE(YEAR(Tracking[[#This Row],[Date ]]), MONTH(Tracking[[#This Row],[Date ]])+1, 1), Tracking[[#This Row],[Date ]])</f>
        <v>45659</v>
      </c>
    </row>
    <row r="14" spans="3:11" x14ac:dyDescent="0.25">
      <c r="C14" s="26">
        <v>45660</v>
      </c>
      <c r="D14" s="25" t="s">
        <v>8</v>
      </c>
      <c r="E14" s="25" t="s">
        <v>21</v>
      </c>
      <c r="F14" s="106">
        <v>150</v>
      </c>
      <c r="G14" s="27"/>
      <c r="H14" s="109" cm="1">
        <f t="array" ref="H14">SUMPRODUCT(Tracking[Amount], --(Tracking[[Date ]]&lt;=Tracking[[#This Row],[Date ]]), (Tracking[Type]&lt;&gt;"Income")*(-1) + (Tracking[Type]="Income"))</f>
        <v>2150</v>
      </c>
      <c r="I14" s="30">
        <f>IF(AND(Tracking[[#This Row],[Type]]="Income", shift_late_income_status="Yes(Active)", DAY(Tracking[[#This Row],[Date ]])&gt;=shift_late_income_starting_day), DATE(YEAR(Tracking[[#This Row],[Date ]]), MONTH(Tracking[[#This Row],[Date ]])+1, 1), Tracking[[#This Row],[Date ]])</f>
        <v>45660</v>
      </c>
    </row>
    <row r="15" spans="3:11" x14ac:dyDescent="0.25">
      <c r="C15" s="26">
        <v>45661</v>
      </c>
      <c r="D15" s="25" t="s">
        <v>13</v>
      </c>
      <c r="E15" s="25" t="s">
        <v>14</v>
      </c>
      <c r="F15" s="106">
        <v>1000</v>
      </c>
      <c r="G15" s="27"/>
      <c r="H15" s="109" cm="1">
        <f t="array" ref="H15">SUMPRODUCT(Tracking[Amount], --(Tracking[[Date ]]&lt;=Tracking[[#This Row],[Date ]]), (Tracking[Type]&lt;&gt;"Income")*(-1) + (Tracking[Type]="Income"))</f>
        <v>1150</v>
      </c>
      <c r="I15" s="30">
        <f>IF(AND(Tracking[[#This Row],[Type]]="Income", shift_late_income_status="Yes(Active)", DAY(Tracking[[#This Row],[Date ]])&gt;=shift_late_income_starting_day), DATE(YEAR(Tracking[[#This Row],[Date ]]), MONTH(Tracking[[#This Row],[Date ]])+1, 1), Tracking[[#This Row],[Date ]])</f>
        <v>45661</v>
      </c>
    </row>
    <row r="16" spans="3:11" x14ac:dyDescent="0.25">
      <c r="C16" s="26">
        <v>45662</v>
      </c>
      <c r="D16" s="25" t="s">
        <v>8</v>
      </c>
      <c r="E16" s="25" t="s">
        <v>10</v>
      </c>
      <c r="F16" s="106">
        <v>300</v>
      </c>
      <c r="G16" s="27"/>
      <c r="H16" s="109" cm="1">
        <f t="array" ref="H16">SUMPRODUCT(Tracking[Amount], --(Tracking[[Date ]]&lt;=Tracking[[#This Row],[Date ]]), (Tracking[Type]&lt;&gt;"Income")*(-1) + (Tracking[Type]="Income"))</f>
        <v>850</v>
      </c>
      <c r="I16" s="30">
        <f>IF(AND(Tracking[[#This Row],[Type]]="Income", shift_late_income_status="Yes(Active)", DAY(Tracking[[#This Row],[Date ]])&gt;=shift_late_income_starting_day), DATE(YEAR(Tracking[[#This Row],[Date ]]), MONTH(Tracking[[#This Row],[Date ]])+1, 1), Tracking[[#This Row],[Date ]])</f>
        <v>45662</v>
      </c>
    </row>
    <row r="17" spans="3:9" x14ac:dyDescent="0.25">
      <c r="C17" s="26">
        <v>45664</v>
      </c>
      <c r="D17" s="25" t="s">
        <v>8</v>
      </c>
      <c r="E17" s="25" t="s">
        <v>11</v>
      </c>
      <c r="F17" s="106">
        <v>120</v>
      </c>
      <c r="G17" s="27"/>
      <c r="H17" s="109" cm="1">
        <f t="array" ref="H17">SUMPRODUCT(Tracking[Amount], --(Tracking[[Date ]]&lt;=Tracking[[#This Row],[Date ]]), (Tracking[Type]&lt;&gt;"Income")*(-1) + (Tracking[Type]="Income"))</f>
        <v>730</v>
      </c>
      <c r="I17" s="30">
        <f>IF(AND(Tracking[[#This Row],[Type]]="Income", shift_late_income_status="Yes(Active)", DAY(Tracking[[#This Row],[Date ]])&gt;=shift_late_income_starting_day), DATE(YEAR(Tracking[[#This Row],[Date ]]), MONTH(Tracking[[#This Row],[Date ]])+1, 1), Tracking[[#This Row],[Date ]])</f>
        <v>45664</v>
      </c>
    </row>
    <row r="18" spans="3:9" x14ac:dyDescent="0.25">
      <c r="C18" s="26">
        <v>45666</v>
      </c>
      <c r="D18" s="25" t="s">
        <v>8</v>
      </c>
      <c r="E18" s="25" t="s">
        <v>19</v>
      </c>
      <c r="F18" s="106">
        <v>80</v>
      </c>
      <c r="G18" s="27"/>
      <c r="H18" s="109" cm="1">
        <f t="array" ref="H18">SUMPRODUCT(Tracking[Amount], --(Tracking[[Date ]]&lt;=Tracking[[#This Row],[Date ]]), (Tracking[Type]&lt;&gt;"Income")*(-1) + (Tracking[Type]="Income"))</f>
        <v>650</v>
      </c>
      <c r="I18" s="30">
        <f>IF(AND(Tracking[[#This Row],[Type]]="Income", shift_late_income_status="Yes(Active)", DAY(Tracking[[#This Row],[Date ]])&gt;=shift_late_income_starting_day), DATE(YEAR(Tracking[[#This Row],[Date ]]), MONTH(Tracking[[#This Row],[Date ]])+1, 1), Tracking[[#This Row],[Date ]])</f>
        <v>45666</v>
      </c>
    </row>
    <row r="19" spans="3:9" x14ac:dyDescent="0.25">
      <c r="C19" s="26">
        <v>45667</v>
      </c>
      <c r="D19" s="25" t="s">
        <v>8</v>
      </c>
      <c r="E19" s="25" t="s">
        <v>24</v>
      </c>
      <c r="F19" s="106">
        <v>120</v>
      </c>
      <c r="G19" s="27"/>
      <c r="H19" s="109" cm="1">
        <f t="array" ref="H19">SUMPRODUCT(Tracking[Amount], --(Tracking[[Date ]]&lt;=Tracking[[#This Row],[Date ]]), (Tracking[Type]&lt;&gt;"Income")*(-1) + (Tracking[Type]="Income"))</f>
        <v>680</v>
      </c>
      <c r="I19" s="30">
        <f>IF(AND(Tracking[[#This Row],[Type]]="Income", shift_late_income_status="Yes(Active)", DAY(Tracking[[#This Row],[Date ]])&gt;=shift_late_income_starting_day), DATE(YEAR(Tracking[[#This Row],[Date ]]), MONTH(Tracking[[#This Row],[Date ]])+1, 1), Tracking[[#This Row],[Date ]])</f>
        <v>45667</v>
      </c>
    </row>
    <row r="20" spans="3:9" x14ac:dyDescent="0.25">
      <c r="C20" s="26">
        <v>45667</v>
      </c>
      <c r="D20" s="25" t="s">
        <v>4</v>
      </c>
      <c r="E20" s="25" t="s">
        <v>7</v>
      </c>
      <c r="F20" s="106">
        <v>150</v>
      </c>
      <c r="G20" s="27"/>
      <c r="H20" s="109" cm="1">
        <f t="array" ref="H20">SUMPRODUCT(Tracking[Amount], --(Tracking[[Date ]]&lt;=Tracking[[#This Row],[Date ]]), (Tracking[Type]&lt;&gt;"Income")*(-1) + (Tracking[Type]="Income"))</f>
        <v>680</v>
      </c>
      <c r="I20" s="30">
        <f>IF(AND(Tracking[[#This Row],[Type]]="Income", shift_late_income_status="Yes(Active)", DAY(Tracking[[#This Row],[Date ]])&gt;=shift_late_income_starting_day), DATE(YEAR(Tracking[[#This Row],[Date ]]), MONTH(Tracking[[#This Row],[Date ]])+1, 1), Tracking[[#This Row],[Date ]])</f>
        <v>45667</v>
      </c>
    </row>
    <row r="21" spans="3:9" x14ac:dyDescent="0.25">
      <c r="C21" s="26">
        <v>45669</v>
      </c>
      <c r="D21" s="25" t="s">
        <v>8</v>
      </c>
      <c r="E21" s="25" t="s">
        <v>23</v>
      </c>
      <c r="F21" s="106">
        <v>50</v>
      </c>
      <c r="G21" s="27"/>
      <c r="H21" s="109" cm="1">
        <f t="array" ref="H21">SUMPRODUCT(Tracking[Amount], --(Tracking[[Date ]]&lt;=Tracking[[#This Row],[Date ]]), (Tracking[Type]&lt;&gt;"Income")*(-1) + (Tracking[Type]="Income"))</f>
        <v>630</v>
      </c>
      <c r="I21" s="30">
        <f>IF(AND(Tracking[[#This Row],[Type]]="Income", shift_late_income_status="Yes(Active)", DAY(Tracking[[#This Row],[Date ]])&gt;=shift_late_income_starting_day), DATE(YEAR(Tracking[[#This Row],[Date ]]), MONTH(Tracking[[#This Row],[Date ]])+1, 1), Tracking[[#This Row],[Date ]])</f>
        <v>45669</v>
      </c>
    </row>
    <row r="22" spans="3:9" x14ac:dyDescent="0.25">
      <c r="C22" s="26">
        <v>45670</v>
      </c>
      <c r="D22" s="25" t="s">
        <v>8</v>
      </c>
      <c r="E22" s="25" t="s">
        <v>22</v>
      </c>
      <c r="F22" s="106">
        <v>70</v>
      </c>
      <c r="G22" s="27"/>
      <c r="H22" s="109" cm="1">
        <f t="array" ref="H22">SUMPRODUCT(Tracking[Amount], --(Tracking[[Date ]]&lt;=Tracking[[#This Row],[Date ]]), (Tracking[Type]&lt;&gt;"Income")*(-1) + (Tracking[Type]="Income"))</f>
        <v>560</v>
      </c>
      <c r="I22" s="30">
        <f>IF(AND(Tracking[[#This Row],[Type]]="Income", shift_late_income_status="Yes(Active)", DAY(Tracking[[#This Row],[Date ]])&gt;=shift_late_income_starting_day), DATE(YEAR(Tracking[[#This Row],[Date ]]), MONTH(Tracking[[#This Row],[Date ]])+1, 1), Tracking[[#This Row],[Date ]])</f>
        <v>45670</v>
      </c>
    </row>
    <row r="23" spans="3:9" x14ac:dyDescent="0.25">
      <c r="C23" s="26">
        <v>45671</v>
      </c>
      <c r="D23" s="25" t="s">
        <v>8</v>
      </c>
      <c r="E23" s="25" t="s">
        <v>11</v>
      </c>
      <c r="F23" s="106">
        <v>80</v>
      </c>
      <c r="G23" s="27"/>
      <c r="H23" s="109" cm="1">
        <f t="array" ref="H23">SUMPRODUCT(Tracking[Amount], --(Tracking[[Date ]]&lt;=Tracking[[#This Row],[Date ]]), (Tracking[Type]&lt;&gt;"Income")*(-1) + (Tracking[Type]="Income"))</f>
        <v>480</v>
      </c>
      <c r="I23" s="30">
        <f>IF(AND(Tracking[[#This Row],[Type]]="Income", shift_late_income_status="Yes(Active)", DAY(Tracking[[#This Row],[Date ]])&gt;=shift_late_income_starting_day), DATE(YEAR(Tracking[[#This Row],[Date ]]), MONTH(Tracking[[#This Row],[Date ]])+1, 1), Tracking[[#This Row],[Date ]])</f>
        <v>45671</v>
      </c>
    </row>
    <row r="24" spans="3:9" x14ac:dyDescent="0.25">
      <c r="C24" s="26">
        <v>45672</v>
      </c>
      <c r="D24" s="25" t="s">
        <v>4</v>
      </c>
      <c r="E24" s="25" t="s">
        <v>33</v>
      </c>
      <c r="F24" s="106">
        <v>1200</v>
      </c>
      <c r="G24" s="27"/>
      <c r="H24" s="109" cm="1">
        <f t="array" ref="H24">SUMPRODUCT(Tracking[Amount], --(Tracking[[Date ]]&lt;=Tracking[[#This Row],[Date ]]), (Tracking[Type]&lt;&gt;"Income")*(-1) + (Tracking[Type]="Income"))</f>
        <v>1680</v>
      </c>
      <c r="I24" s="30">
        <f>IF(AND(Tracking[[#This Row],[Type]]="Income", shift_late_income_status="Yes(Active)", DAY(Tracking[[#This Row],[Date ]])&gt;=shift_late_income_starting_day), DATE(YEAR(Tracking[[#This Row],[Date ]]), MONTH(Tracking[[#This Row],[Date ]])+1, 1), Tracking[[#This Row],[Date ]])</f>
        <v>45672</v>
      </c>
    </row>
    <row r="25" spans="3:9" x14ac:dyDescent="0.25">
      <c r="C25" s="26">
        <v>45674</v>
      </c>
      <c r="D25" s="25" t="s">
        <v>8</v>
      </c>
      <c r="E25" s="25" t="s">
        <v>24</v>
      </c>
      <c r="F25" s="106">
        <v>100</v>
      </c>
      <c r="G25" s="27"/>
      <c r="H25" s="109" cm="1">
        <f t="array" ref="H25">SUMPRODUCT(Tracking[Amount], --(Tracking[[Date ]]&lt;=Tracking[[#This Row],[Date ]]), (Tracking[Type]&lt;&gt;"Income")*(-1) + (Tracking[Type]="Income"))</f>
        <v>1580</v>
      </c>
      <c r="I25" s="30">
        <f>IF(AND(Tracking[[#This Row],[Type]]="Income", shift_late_income_status="Yes(Active)", DAY(Tracking[[#This Row],[Date ]])&gt;=shift_late_income_starting_day), DATE(YEAR(Tracking[[#This Row],[Date ]]), MONTH(Tracking[[#This Row],[Date ]])+1, 1), Tracking[[#This Row],[Date ]])</f>
        <v>45674</v>
      </c>
    </row>
    <row r="26" spans="3:9" x14ac:dyDescent="0.25">
      <c r="C26" s="26">
        <v>45675</v>
      </c>
      <c r="D26" s="25" t="s">
        <v>8</v>
      </c>
      <c r="E26" s="25" t="s">
        <v>21</v>
      </c>
      <c r="F26" s="106">
        <v>70</v>
      </c>
      <c r="G26" s="27"/>
      <c r="H26" s="109" cm="1">
        <f t="array" ref="H26">SUMPRODUCT(Tracking[Amount], --(Tracking[[Date ]]&lt;=Tracking[[#This Row],[Date ]]), (Tracking[Type]&lt;&gt;"Income")*(-1) + (Tracking[Type]="Income"))</f>
        <v>1510</v>
      </c>
      <c r="I26" s="30">
        <f>IF(AND(Tracking[[#This Row],[Type]]="Income", shift_late_income_status="Yes(Active)", DAY(Tracking[[#This Row],[Date ]])&gt;=shift_late_income_starting_day), DATE(YEAR(Tracking[[#This Row],[Date ]]), MONTH(Tracking[[#This Row],[Date ]])+1, 1), Tracking[[#This Row],[Date ]])</f>
        <v>45675</v>
      </c>
    </row>
    <row r="27" spans="3:9" x14ac:dyDescent="0.25">
      <c r="C27" s="26">
        <v>45676</v>
      </c>
      <c r="D27" s="25" t="s">
        <v>8</v>
      </c>
      <c r="E27" s="25" t="s">
        <v>22</v>
      </c>
      <c r="F27" s="106">
        <v>60</v>
      </c>
      <c r="G27" s="27"/>
      <c r="H27" s="109" cm="1">
        <f t="array" ref="H27">SUMPRODUCT(Tracking[Amount], --(Tracking[[Date ]]&lt;=Tracking[[#This Row],[Date ]]), (Tracking[Type]&lt;&gt;"Income")*(-1) + (Tracking[Type]="Income"))</f>
        <v>1450</v>
      </c>
      <c r="I27" s="30">
        <f>IF(AND(Tracking[[#This Row],[Type]]="Income", shift_late_income_status="Yes(Active)", DAY(Tracking[[#This Row],[Date ]])&gt;=shift_late_income_starting_day), DATE(YEAR(Tracking[[#This Row],[Date ]]), MONTH(Tracking[[#This Row],[Date ]])+1, 1), Tracking[[#This Row],[Date ]])</f>
        <v>45676</v>
      </c>
    </row>
    <row r="28" spans="3:9" x14ac:dyDescent="0.25">
      <c r="C28" s="26">
        <v>45678</v>
      </c>
      <c r="D28" s="25" t="s">
        <v>8</v>
      </c>
      <c r="E28" s="25" t="s">
        <v>24</v>
      </c>
      <c r="F28" s="106">
        <v>30</v>
      </c>
      <c r="G28" s="27"/>
      <c r="H28" s="109" cm="1">
        <f t="array" ref="H28">SUMPRODUCT(Tracking[Amount], --(Tracking[[Date ]]&lt;=Tracking[[#This Row],[Date ]]), (Tracking[Type]&lt;&gt;"Income")*(-1) + (Tracking[Type]="Income"))</f>
        <v>1420</v>
      </c>
      <c r="I28" s="30">
        <f>IF(AND(Tracking[[#This Row],[Type]]="Income", shift_late_income_status="Yes(Active)", DAY(Tracking[[#This Row],[Date ]])&gt;=shift_late_income_starting_day), DATE(YEAR(Tracking[[#This Row],[Date ]]), MONTH(Tracking[[#This Row],[Date ]])+1, 1), Tracking[[#This Row],[Date ]])</f>
        <v>45678</v>
      </c>
    </row>
    <row r="29" spans="3:9" x14ac:dyDescent="0.25">
      <c r="C29" s="26">
        <v>45679</v>
      </c>
      <c r="D29" s="25" t="s">
        <v>8</v>
      </c>
      <c r="E29" s="25" t="s">
        <v>19</v>
      </c>
      <c r="F29" s="106">
        <v>100</v>
      </c>
      <c r="G29" s="27"/>
      <c r="H29" s="109" cm="1">
        <f t="array" ref="H29">SUMPRODUCT(Tracking[Amount], --(Tracking[[Date ]]&lt;=Tracking[[#This Row],[Date ]]), (Tracking[Type]&lt;&gt;"Income")*(-1) + (Tracking[Type]="Income"))</f>
        <v>1320</v>
      </c>
      <c r="I29" s="30">
        <f>IF(AND(Tracking[[#This Row],[Type]]="Income", shift_late_income_status="Yes(Active)", DAY(Tracking[[#This Row],[Date ]])&gt;=shift_late_income_starting_day), DATE(YEAR(Tracking[[#This Row],[Date ]]), MONTH(Tracking[[#This Row],[Date ]])+1, 1), Tracking[[#This Row],[Date ]])</f>
        <v>45679</v>
      </c>
    </row>
    <row r="30" spans="3:9" x14ac:dyDescent="0.25">
      <c r="C30" s="26">
        <v>45681</v>
      </c>
      <c r="D30" s="25" t="s">
        <v>8</v>
      </c>
      <c r="E30" s="25" t="s">
        <v>22</v>
      </c>
      <c r="F30" s="106">
        <v>40</v>
      </c>
      <c r="G30" s="27"/>
      <c r="H30" s="109" cm="1">
        <f t="array" ref="H30">SUMPRODUCT(Tracking[Amount], --(Tracking[[Date ]]&lt;=Tracking[[#This Row],[Date ]]), (Tracking[Type]&lt;&gt;"Income")*(-1) + (Tracking[Type]="Income"))</f>
        <v>1280</v>
      </c>
      <c r="I30" s="30">
        <f>IF(AND(Tracking[[#This Row],[Type]]="Income", shift_late_income_status="Yes(Active)", DAY(Tracking[[#This Row],[Date ]])&gt;=shift_late_income_starting_day), DATE(YEAR(Tracking[[#This Row],[Date ]]), MONTH(Tracking[[#This Row],[Date ]])+1, 1), Tracking[[#This Row],[Date ]])</f>
        <v>45681</v>
      </c>
    </row>
    <row r="31" spans="3:9" x14ac:dyDescent="0.25">
      <c r="C31" s="26">
        <v>45682</v>
      </c>
      <c r="D31" s="25" t="s">
        <v>4</v>
      </c>
      <c r="E31" s="25" t="s">
        <v>32</v>
      </c>
      <c r="F31" s="106">
        <v>3500</v>
      </c>
      <c r="G31" s="27"/>
      <c r="H31" s="109" cm="1">
        <f t="array" ref="H31">SUMPRODUCT(Tracking[Amount], --(Tracking[[Date ]]&lt;=Tracking[[#This Row],[Date ]]), (Tracking[Type]&lt;&gt;"Income")*(-1) + (Tracking[Type]="Income"))</f>
        <v>4780</v>
      </c>
      <c r="I31" s="30">
        <f>IF(AND(Tracking[[#This Row],[Type]]="Income", shift_late_income_status="Yes(Active)", DAY(Tracking[[#This Row],[Date ]])&gt;=shift_late_income_starting_day), DATE(YEAR(Tracking[[#This Row],[Date ]]), MONTH(Tracking[[#This Row],[Date ]])+1, 1), Tracking[[#This Row],[Date ]])</f>
        <v>45689</v>
      </c>
    </row>
    <row r="32" spans="3:9" x14ac:dyDescent="0.25">
      <c r="C32" s="26">
        <v>45683</v>
      </c>
      <c r="D32" s="25" t="s">
        <v>8</v>
      </c>
      <c r="E32" s="25" t="s">
        <v>11</v>
      </c>
      <c r="F32" s="106">
        <v>120</v>
      </c>
      <c r="G32" s="27"/>
      <c r="H32" s="109" cm="1">
        <f t="array" ref="H32">SUMPRODUCT(Tracking[Amount], --(Tracking[[Date ]]&lt;=Tracking[[#This Row],[Date ]]), (Tracking[Type]&lt;&gt;"Income")*(-1) + (Tracking[Type]="Income"))</f>
        <v>4660</v>
      </c>
      <c r="I32" s="30">
        <f>IF(AND(Tracking[[#This Row],[Type]]="Income", shift_late_income_status="Yes(Active)", DAY(Tracking[[#This Row],[Date ]])&gt;=shift_late_income_starting_day), DATE(YEAR(Tracking[[#This Row],[Date ]]), MONTH(Tracking[[#This Row],[Date ]])+1, 1), Tracking[[#This Row],[Date ]])</f>
        <v>45683</v>
      </c>
    </row>
    <row r="33" spans="3:9" x14ac:dyDescent="0.25">
      <c r="C33" s="26">
        <v>45685</v>
      </c>
      <c r="D33" s="25" t="s">
        <v>8</v>
      </c>
      <c r="E33" s="25" t="s">
        <v>24</v>
      </c>
      <c r="F33" s="106">
        <v>110</v>
      </c>
      <c r="G33" s="27"/>
      <c r="H33" s="109" cm="1">
        <f t="array" ref="H33">SUMPRODUCT(Tracking[Amount], --(Tracking[[Date ]]&lt;=Tracking[[#This Row],[Date ]]), (Tracking[Type]&lt;&gt;"Income")*(-1) + (Tracking[Type]="Income"))</f>
        <v>4550</v>
      </c>
      <c r="I33" s="30">
        <f>IF(AND(Tracking[[#This Row],[Type]]="Income", shift_late_income_status="Yes(Active)", DAY(Tracking[[#This Row],[Date ]])&gt;=shift_late_income_starting_day), DATE(YEAR(Tracking[[#This Row],[Date ]]), MONTH(Tracking[[#This Row],[Date ]])+1, 1), Tracking[[#This Row],[Date ]])</f>
        <v>45685</v>
      </c>
    </row>
    <row r="34" spans="3:9" x14ac:dyDescent="0.25">
      <c r="C34" s="26">
        <v>45688</v>
      </c>
      <c r="D34" s="25" t="s">
        <v>13</v>
      </c>
      <c r="E34" s="25" t="s">
        <v>15</v>
      </c>
      <c r="F34" s="106">
        <v>400</v>
      </c>
      <c r="G34" s="27"/>
      <c r="H34" s="109" cm="1">
        <f t="array" ref="H34">SUMPRODUCT(Tracking[Amount], --(Tracking[[Date ]]&lt;=Tracking[[#This Row],[Date ]]), (Tracking[Type]&lt;&gt;"Income")*(-1) + (Tracking[Type]="Income"))</f>
        <v>3500</v>
      </c>
      <c r="I34" s="30">
        <f>IF(AND(Tracking[[#This Row],[Type]]="Income", shift_late_income_status="Yes(Active)", DAY(Tracking[[#This Row],[Date ]])&gt;=shift_late_income_starting_day), DATE(YEAR(Tracking[[#This Row],[Date ]]), MONTH(Tracking[[#This Row],[Date ]])+1, 1), Tracking[[#This Row],[Date ]])</f>
        <v>45688</v>
      </c>
    </row>
    <row r="35" spans="3:9" x14ac:dyDescent="0.25">
      <c r="C35" s="26">
        <v>45688</v>
      </c>
      <c r="D35" s="25" t="s">
        <v>13</v>
      </c>
      <c r="E35" s="25" t="s">
        <v>16</v>
      </c>
      <c r="F35" s="106">
        <v>250</v>
      </c>
      <c r="G35" s="27"/>
      <c r="H35" s="109" cm="1">
        <f t="array" ref="H35">SUMPRODUCT(Tracking[Amount], --(Tracking[[Date ]]&lt;=Tracking[[#This Row],[Date ]]), (Tracking[Type]&lt;&gt;"Income")*(-1) + (Tracking[Type]="Income"))</f>
        <v>3500</v>
      </c>
      <c r="I35" s="30">
        <f>IF(AND(Tracking[[#This Row],[Type]]="Income", shift_late_income_status="Yes(Active)", DAY(Tracking[[#This Row],[Date ]])&gt;=shift_late_income_starting_day), DATE(YEAR(Tracking[[#This Row],[Date ]]), MONTH(Tracking[[#This Row],[Date ]])+1, 1), Tracking[[#This Row],[Date ]])</f>
        <v>45688</v>
      </c>
    </row>
    <row r="36" spans="3:9" x14ac:dyDescent="0.25">
      <c r="C36" s="26">
        <v>45688</v>
      </c>
      <c r="D36" s="25" t="s">
        <v>13</v>
      </c>
      <c r="E36" s="25" t="s">
        <v>26</v>
      </c>
      <c r="F36" s="106">
        <v>400</v>
      </c>
      <c r="G36" s="27"/>
      <c r="H36" s="109" cm="1">
        <f t="array" ref="H36">SUMPRODUCT(Tracking[Amount], --(Tracking[[Date ]]&lt;=Tracking[[#This Row],[Date ]]), (Tracking[Type]&lt;&gt;"Income")*(-1) + (Tracking[Type]="Income"))</f>
        <v>3500</v>
      </c>
      <c r="I36" s="30">
        <f>IF(AND(Tracking[[#This Row],[Type]]="Income", shift_late_income_status="Yes(Active)", DAY(Tracking[[#This Row],[Date ]])&gt;=shift_late_income_starting_day), DATE(YEAR(Tracking[[#This Row],[Date ]]), MONTH(Tracking[[#This Row],[Date ]])+1, 1), Tracking[[#This Row],[Date ]])</f>
        <v>45688</v>
      </c>
    </row>
    <row r="37" spans="3:9" x14ac:dyDescent="0.25">
      <c r="C37" s="26">
        <v>45689</v>
      </c>
      <c r="D37" s="25" t="s">
        <v>8</v>
      </c>
      <c r="E37" s="25" t="s">
        <v>9</v>
      </c>
      <c r="F37" s="107">
        <v>1200</v>
      </c>
      <c r="G37" s="44"/>
      <c r="H37" s="110" cm="1">
        <f t="array" ref="H37">SUMPRODUCT(Tracking[Amount], --(Tracking[[Date ]]&lt;=Tracking[[#This Row],[Date ]]), (Tracking[Type]&lt;&gt;"Income")*(-1) + (Tracking[Type]="Income"))</f>
        <v>2300</v>
      </c>
      <c r="I37" s="30">
        <f>IF(AND(Tracking[[#This Row],[Type]]="Income", shift_late_income_status="Yes(Active)", DAY(Tracking[[#This Row],[Date ]])&gt;=shift_late_income_starting_day), DATE(YEAR(Tracking[[#This Row],[Date ]]), MONTH(Tracking[[#This Row],[Date ]])+1, 1), Tracking[[#This Row],[Date ]])</f>
        <v>45689</v>
      </c>
    </row>
    <row r="38" spans="3:9" x14ac:dyDescent="0.25">
      <c r="C38" s="26">
        <v>45690</v>
      </c>
      <c r="D38" s="25" t="s">
        <v>8</v>
      </c>
      <c r="E38" s="25" t="s">
        <v>10</v>
      </c>
      <c r="F38" s="107">
        <v>300</v>
      </c>
      <c r="G38" s="44"/>
      <c r="H38" s="110" cm="1">
        <f t="array" ref="H38">SUMPRODUCT(Tracking[Amount], --(Tracking[[Date ]]&lt;=Tracking[[#This Row],[Date ]]), (Tracking[Type]&lt;&gt;"Income")*(-1) + (Tracking[Type]="Income"))</f>
        <v>2000</v>
      </c>
      <c r="I38" s="30">
        <f>IF(AND(Tracking[[#This Row],[Type]]="Income", shift_late_income_status="Yes(Active)", DAY(Tracking[[#This Row],[Date ]])&gt;=shift_late_income_starting_day), DATE(YEAR(Tracking[[#This Row],[Date ]]), MONTH(Tracking[[#This Row],[Date ]])+1, 1), Tracking[[#This Row],[Date ]])</f>
        <v>45690</v>
      </c>
    </row>
    <row r="39" spans="3:9" x14ac:dyDescent="0.25">
      <c r="C39" s="26">
        <v>45693</v>
      </c>
      <c r="D39" s="25" t="s">
        <v>4</v>
      </c>
      <c r="E39" s="25" t="s">
        <v>33</v>
      </c>
      <c r="F39" s="106">
        <v>500</v>
      </c>
      <c r="G39" s="27"/>
      <c r="H39" s="109" cm="1">
        <f t="array" ref="H39">SUMPRODUCT(Tracking[Amount], --(Tracking[[Date ]]&lt;=Tracking[[#This Row],[Date ]]), (Tracking[Type]&lt;&gt;"Income")*(-1) + (Tracking[Type]="Income"))</f>
        <v>2500</v>
      </c>
      <c r="I39" s="30">
        <f>IF(AND(Tracking[[#This Row],[Type]]="Income", shift_late_income_status="Yes(Active)", DAY(Tracking[[#This Row],[Date ]])&gt;=shift_late_income_starting_day), DATE(YEAR(Tracking[[#This Row],[Date ]]), MONTH(Tracking[[#This Row],[Date ]])+1, 1), Tracking[[#This Row],[Date ]])</f>
        <v>45693</v>
      </c>
    </row>
    <row r="40" spans="3:9" x14ac:dyDescent="0.25">
      <c r="C40" s="26">
        <v>45695</v>
      </c>
      <c r="D40" s="25" t="s">
        <v>8</v>
      </c>
      <c r="E40" s="25" t="s">
        <v>11</v>
      </c>
      <c r="F40" s="106">
        <v>200</v>
      </c>
      <c r="G40" s="27"/>
      <c r="H40" s="109" cm="1">
        <f t="array" ref="H40">SUMPRODUCT(Tracking[Amount], --(Tracking[[Date ]]&lt;=Tracking[[#This Row],[Date ]]), (Tracking[Type]&lt;&gt;"Income")*(-1) + (Tracking[Type]="Income"))</f>
        <v>2300</v>
      </c>
      <c r="I40" s="30">
        <f>IF(AND(Tracking[[#This Row],[Type]]="Income", shift_late_income_status="Yes(Active)", DAY(Tracking[[#This Row],[Date ]])&gt;=shift_late_income_starting_day), DATE(YEAR(Tracking[[#This Row],[Date ]]), MONTH(Tracking[[#This Row],[Date ]])+1, 1), Tracking[[#This Row],[Date ]])</f>
        <v>45695</v>
      </c>
    </row>
    <row r="41" spans="3:9" x14ac:dyDescent="0.25">
      <c r="C41" s="26">
        <v>45696</v>
      </c>
      <c r="D41" s="25" t="s">
        <v>8</v>
      </c>
      <c r="E41" s="25" t="s">
        <v>19</v>
      </c>
      <c r="F41" s="106">
        <v>100</v>
      </c>
      <c r="G41" s="27"/>
      <c r="H41" s="109" cm="1">
        <f t="array" ref="H41">SUMPRODUCT(Tracking[Amount], --(Tracking[[Date ]]&lt;=Tracking[[#This Row],[Date ]]), (Tracking[Type]&lt;&gt;"Income")*(-1) + (Tracking[Type]="Income"))</f>
        <v>2200</v>
      </c>
      <c r="I41" s="30">
        <f>IF(AND(Tracking[[#This Row],[Type]]="Income", shift_late_income_status="Yes(Active)", DAY(Tracking[[#This Row],[Date ]])&gt;=shift_late_income_starting_day), DATE(YEAR(Tracking[[#This Row],[Date ]]), MONTH(Tracking[[#This Row],[Date ]])+1, 1), Tracking[[#This Row],[Date ]])</f>
        <v>45696</v>
      </c>
    </row>
    <row r="42" spans="3:9" x14ac:dyDescent="0.25">
      <c r="C42" s="26">
        <v>45697</v>
      </c>
      <c r="D42" s="25" t="s">
        <v>13</v>
      </c>
      <c r="E42" s="25" t="s">
        <v>16</v>
      </c>
      <c r="F42" s="106">
        <v>500</v>
      </c>
      <c r="G42" s="27"/>
      <c r="H42" s="109" cm="1">
        <f t="array" ref="H42">SUMPRODUCT(Tracking[Amount], --(Tracking[[Date ]]&lt;=Tracking[[#This Row],[Date ]]), (Tracking[Type]&lt;&gt;"Income")*(-1) + (Tracking[Type]="Income"))</f>
        <v>1700</v>
      </c>
      <c r="I42" s="30">
        <f>IF(AND(Tracking[[#This Row],[Type]]="Income", shift_late_income_status="Yes(Active)", DAY(Tracking[[#This Row],[Date ]])&gt;=shift_late_income_starting_day), DATE(YEAR(Tracking[[#This Row],[Date ]]), MONTH(Tracking[[#This Row],[Date ]])+1, 1), Tracking[[#This Row],[Date ]])</f>
        <v>45697</v>
      </c>
    </row>
    <row r="43" spans="3:9" x14ac:dyDescent="0.25">
      <c r="C43" s="26">
        <v>45698</v>
      </c>
      <c r="D43" s="25" t="s">
        <v>8</v>
      </c>
      <c r="E43" s="25" t="s">
        <v>21</v>
      </c>
      <c r="F43" s="106">
        <v>60</v>
      </c>
      <c r="G43" s="27"/>
      <c r="H43" s="109" cm="1">
        <f t="array" ref="H43">SUMPRODUCT(Tracking[Amount], --(Tracking[[Date ]]&lt;=Tracking[[#This Row],[Date ]]), (Tracking[Type]&lt;&gt;"Income")*(-1) + (Tracking[Type]="Income"))</f>
        <v>1640</v>
      </c>
      <c r="I43" s="30">
        <f>IF(AND(Tracking[[#This Row],[Type]]="Income", shift_late_income_status="Yes(Active)", DAY(Tracking[[#This Row],[Date ]])&gt;=shift_late_income_starting_day), DATE(YEAR(Tracking[[#This Row],[Date ]]), MONTH(Tracking[[#This Row],[Date ]])+1, 1), Tracking[[#This Row],[Date ]])</f>
        <v>45698</v>
      </c>
    </row>
    <row r="44" spans="3:9" x14ac:dyDescent="0.25">
      <c r="C44" s="26">
        <v>45699</v>
      </c>
      <c r="D44" s="25" t="s">
        <v>8</v>
      </c>
      <c r="E44" s="25" t="s">
        <v>22</v>
      </c>
      <c r="F44" s="106">
        <v>70</v>
      </c>
      <c r="G44" s="27"/>
      <c r="H44" s="109" cm="1">
        <f t="array" ref="H44">SUMPRODUCT(Tracking[Amount], --(Tracking[[Date ]]&lt;=Tracking[[#This Row],[Date ]]), (Tracking[Type]&lt;&gt;"Income")*(-1) + (Tracking[Type]="Income"))</f>
        <v>1570</v>
      </c>
      <c r="I44" s="30">
        <f>IF(AND(Tracking[[#This Row],[Type]]="Income", shift_late_income_status="Yes(Active)", DAY(Tracking[[#This Row],[Date ]])&gt;=shift_late_income_starting_day), DATE(YEAR(Tracking[[#This Row],[Date ]]), MONTH(Tracking[[#This Row],[Date ]])+1, 1), Tracking[[#This Row],[Date ]])</f>
        <v>45699</v>
      </c>
    </row>
    <row r="45" spans="3:9" x14ac:dyDescent="0.25">
      <c r="C45" s="26">
        <v>45701</v>
      </c>
      <c r="D45" s="25" t="s">
        <v>8</v>
      </c>
      <c r="E45" s="25" t="s">
        <v>24</v>
      </c>
      <c r="F45" s="106">
        <v>140</v>
      </c>
      <c r="G45" s="27"/>
      <c r="H45" s="109" cm="1">
        <f t="array" ref="H45">SUMPRODUCT(Tracking[Amount], --(Tracking[[Date ]]&lt;=Tracking[[#This Row],[Date ]]), (Tracking[Type]&lt;&gt;"Income")*(-1) + (Tracking[Type]="Income"))</f>
        <v>1430</v>
      </c>
      <c r="I45" s="30">
        <f>IF(AND(Tracking[[#This Row],[Type]]="Income", shift_late_income_status="Yes(Active)", DAY(Tracking[[#This Row],[Date ]])&gt;=shift_late_income_starting_day), DATE(YEAR(Tracking[[#This Row],[Date ]]), MONTH(Tracking[[#This Row],[Date ]])+1, 1), Tracking[[#This Row],[Date ]])</f>
        <v>45701</v>
      </c>
    </row>
    <row r="46" spans="3:9" x14ac:dyDescent="0.25">
      <c r="C46" s="26">
        <v>45702</v>
      </c>
      <c r="D46" s="25" t="s">
        <v>8</v>
      </c>
      <c r="E46" s="25" t="s">
        <v>11</v>
      </c>
      <c r="F46" s="106">
        <v>80</v>
      </c>
      <c r="G46" s="27"/>
      <c r="H46" s="109" cm="1">
        <f t="array" ref="H46">SUMPRODUCT(Tracking[Amount], --(Tracking[[Date ]]&lt;=Tracking[[#This Row],[Date ]]), (Tracking[Type]&lt;&gt;"Income")*(-1) + (Tracking[Type]="Income"))</f>
        <v>1350</v>
      </c>
      <c r="I46" s="30">
        <f>IF(AND(Tracking[[#This Row],[Type]]="Income", shift_late_income_status="Yes(Active)", DAY(Tracking[[#This Row],[Date ]])&gt;=shift_late_income_starting_day), DATE(YEAR(Tracking[[#This Row],[Date ]]), MONTH(Tracking[[#This Row],[Date ]])+1, 1), Tracking[[#This Row],[Date ]])</f>
        <v>45702</v>
      </c>
    </row>
    <row r="47" spans="3:9" x14ac:dyDescent="0.25">
      <c r="C47" s="26">
        <v>45703</v>
      </c>
      <c r="D47" s="25" t="s">
        <v>4</v>
      </c>
      <c r="E47" s="25" t="s">
        <v>7</v>
      </c>
      <c r="F47" s="106">
        <v>50</v>
      </c>
      <c r="G47" s="27"/>
      <c r="H47" s="109" cm="1">
        <f t="array" ref="H47">SUMPRODUCT(Tracking[Amount], --(Tracking[[Date ]]&lt;=Tracking[[#This Row],[Date ]]), (Tracking[Type]&lt;&gt;"Income")*(-1) + (Tracking[Type]="Income"))</f>
        <v>1400</v>
      </c>
      <c r="I47" s="30">
        <f>IF(AND(Tracking[[#This Row],[Type]]="Income", shift_late_income_status="Yes(Active)", DAY(Tracking[[#This Row],[Date ]])&gt;=shift_late_income_starting_day), DATE(YEAR(Tracking[[#This Row],[Date ]]), MONTH(Tracking[[#This Row],[Date ]])+1, 1), Tracking[[#This Row],[Date ]])</f>
        <v>45703</v>
      </c>
    </row>
    <row r="48" spans="3:9" x14ac:dyDescent="0.25">
      <c r="C48" s="26">
        <v>45704</v>
      </c>
      <c r="D48" s="25" t="s">
        <v>8</v>
      </c>
      <c r="E48" s="25" t="s">
        <v>23</v>
      </c>
      <c r="F48" s="106">
        <v>70</v>
      </c>
      <c r="G48" s="27"/>
      <c r="H48" s="109" cm="1">
        <f t="array" ref="H48">SUMPRODUCT(Tracking[Amount], --(Tracking[[Date ]]&lt;=Tracking[[#This Row],[Date ]]), (Tracking[Type]&lt;&gt;"Income")*(-1) + (Tracking[Type]="Income"))</f>
        <v>1330</v>
      </c>
      <c r="I48" s="30">
        <f>IF(AND(Tracking[[#This Row],[Type]]="Income", shift_late_income_status="Yes(Active)", DAY(Tracking[[#This Row],[Date ]])&gt;=shift_late_income_starting_day), DATE(YEAR(Tracking[[#This Row],[Date ]]), MONTH(Tracking[[#This Row],[Date ]])+1, 1), Tracking[[#This Row],[Date ]])</f>
        <v>45704</v>
      </c>
    </row>
    <row r="49" spans="3:9" x14ac:dyDescent="0.25">
      <c r="C49" s="26">
        <v>45705</v>
      </c>
      <c r="D49" s="25" t="s">
        <v>8</v>
      </c>
      <c r="E49" s="25" t="s">
        <v>19</v>
      </c>
      <c r="F49" s="106">
        <v>150</v>
      </c>
      <c r="G49" s="27"/>
      <c r="H49" s="109" cm="1">
        <f t="array" ref="H49">SUMPRODUCT(Tracking[Amount], --(Tracking[[Date ]]&lt;=Tracking[[#This Row],[Date ]]), (Tracking[Type]&lt;&gt;"Income")*(-1) + (Tracking[Type]="Income"))</f>
        <v>1180</v>
      </c>
      <c r="I49" s="30">
        <f>IF(AND(Tracking[[#This Row],[Type]]="Income", shift_late_income_status="Yes(Active)", DAY(Tracking[[#This Row],[Date ]])&gt;=shift_late_income_starting_day), DATE(YEAR(Tracking[[#This Row],[Date ]]), MONTH(Tracking[[#This Row],[Date ]])+1, 1), Tracking[[#This Row],[Date ]])</f>
        <v>45705</v>
      </c>
    </row>
    <row r="50" spans="3:9" x14ac:dyDescent="0.25">
      <c r="C50" s="26">
        <v>45706</v>
      </c>
      <c r="D50" s="25" t="s">
        <v>8</v>
      </c>
      <c r="E50" s="25" t="s">
        <v>24</v>
      </c>
      <c r="F50" s="106">
        <v>60</v>
      </c>
      <c r="G50" s="27"/>
      <c r="H50" s="109" cm="1">
        <f t="array" ref="H50">SUMPRODUCT(Tracking[Amount], --(Tracking[[Date ]]&lt;=Tracking[[#This Row],[Date ]]), (Tracking[Type]&lt;&gt;"Income")*(-1) + (Tracking[Type]="Income"))</f>
        <v>1120</v>
      </c>
      <c r="I50" s="30">
        <f>IF(AND(Tracking[[#This Row],[Type]]="Income", shift_late_income_status="Yes(Active)", DAY(Tracking[[#This Row],[Date ]])&gt;=shift_late_income_starting_day), DATE(YEAR(Tracking[[#This Row],[Date ]]), MONTH(Tracking[[#This Row],[Date ]])+1, 1), Tracking[[#This Row],[Date ]])</f>
        <v>45706</v>
      </c>
    </row>
    <row r="51" spans="3:9" x14ac:dyDescent="0.25">
      <c r="C51" s="26">
        <v>45708</v>
      </c>
      <c r="D51" s="25" t="s">
        <v>8</v>
      </c>
      <c r="E51" s="25" t="s">
        <v>22</v>
      </c>
      <c r="F51" s="106">
        <v>140</v>
      </c>
      <c r="G51" s="27"/>
      <c r="H51" s="109" cm="1">
        <f t="array" ref="H51">SUMPRODUCT(Tracking[Amount], --(Tracking[[Date ]]&lt;=Tracking[[#This Row],[Date ]]), (Tracking[Type]&lt;&gt;"Income")*(-1) + (Tracking[Type]="Income"))</f>
        <v>980</v>
      </c>
      <c r="I51" s="30">
        <f>IF(AND(Tracking[[#This Row],[Type]]="Income", shift_late_income_status="Yes(Active)", DAY(Tracking[[#This Row],[Date ]])&gt;=shift_late_income_starting_day), DATE(YEAR(Tracking[[#This Row],[Date ]]), MONTH(Tracking[[#This Row],[Date ]])+1, 1), Tracking[[#This Row],[Date ]])</f>
        <v>45708</v>
      </c>
    </row>
    <row r="52" spans="3:9" x14ac:dyDescent="0.25">
      <c r="C52" s="26">
        <v>45710</v>
      </c>
      <c r="D52" s="25" t="s">
        <v>8</v>
      </c>
      <c r="E52" s="25" t="s">
        <v>21</v>
      </c>
      <c r="F52" s="106">
        <v>80</v>
      </c>
      <c r="G52" s="27"/>
      <c r="H52" s="109" cm="1">
        <f t="array" ref="H52">SUMPRODUCT(Tracking[Amount], --(Tracking[[Date ]]&lt;=Tracking[[#This Row],[Date ]]), (Tracking[Type]&lt;&gt;"Income")*(-1) + (Tracking[Type]="Income"))</f>
        <v>900</v>
      </c>
      <c r="I52" s="30">
        <f>IF(AND(Tracking[[#This Row],[Type]]="Income", shift_late_income_status="Yes(Active)", DAY(Tracking[[#This Row],[Date ]])&gt;=shift_late_income_starting_day), DATE(YEAR(Tracking[[#This Row],[Date ]]), MONTH(Tracking[[#This Row],[Date ]])+1, 1), Tracking[[#This Row],[Date ]])</f>
        <v>45710</v>
      </c>
    </row>
    <row r="53" spans="3:9" x14ac:dyDescent="0.25">
      <c r="C53" s="26">
        <v>45712</v>
      </c>
      <c r="D53" s="25" t="s">
        <v>8</v>
      </c>
      <c r="E53" s="25" t="s">
        <v>11</v>
      </c>
      <c r="F53" s="106">
        <v>120</v>
      </c>
      <c r="G53" s="27"/>
      <c r="H53" s="109" cm="1">
        <f t="array" ref="H53">SUMPRODUCT(Tracking[Amount], --(Tracking[[Date ]]&lt;=Tracking[[#This Row],[Date ]]), (Tracking[Type]&lt;&gt;"Income")*(-1) + (Tracking[Type]="Income"))</f>
        <v>780</v>
      </c>
      <c r="I53" s="30">
        <f>IF(AND(Tracking[[#This Row],[Type]]="Income", shift_late_income_status="Yes(Active)", DAY(Tracking[[#This Row],[Date ]])&gt;=shift_late_income_starting_day), DATE(YEAR(Tracking[[#This Row],[Date ]]), MONTH(Tracking[[#This Row],[Date ]])+1, 1), Tracking[[#This Row],[Date ]])</f>
        <v>45712</v>
      </c>
    </row>
    <row r="54" spans="3:9" x14ac:dyDescent="0.25">
      <c r="C54" s="26">
        <v>45713</v>
      </c>
      <c r="D54" s="25" t="s">
        <v>8</v>
      </c>
      <c r="E54" s="25" t="s">
        <v>19</v>
      </c>
      <c r="F54" s="106">
        <v>130</v>
      </c>
      <c r="G54" s="27"/>
      <c r="H54" s="109" cm="1">
        <f t="array" ref="H54">SUMPRODUCT(Tracking[Amount], --(Tracking[[Date ]]&lt;=Tracking[[#This Row],[Date ]]), (Tracking[Type]&lt;&gt;"Income")*(-1) + (Tracking[Type]="Income"))</f>
        <v>4150</v>
      </c>
      <c r="I54" s="30">
        <f>IF(AND(Tracking[[#This Row],[Type]]="Income", shift_late_income_status="Yes(Active)", DAY(Tracking[[#This Row],[Date ]])&gt;=shift_late_income_starting_day), DATE(YEAR(Tracking[[#This Row],[Date ]]), MONTH(Tracking[[#This Row],[Date ]])+1, 1), Tracking[[#This Row],[Date ]])</f>
        <v>45713</v>
      </c>
    </row>
    <row r="55" spans="3:9" x14ac:dyDescent="0.25">
      <c r="C55" s="26">
        <v>45713</v>
      </c>
      <c r="D55" s="25" t="s">
        <v>4</v>
      </c>
      <c r="E55" s="25" t="s">
        <v>32</v>
      </c>
      <c r="F55" s="106">
        <v>3500</v>
      </c>
      <c r="G55" s="27"/>
      <c r="H55" s="109" cm="1">
        <f t="array" ref="H55">SUMPRODUCT(Tracking[Amount], --(Tracking[[Date ]]&lt;=Tracking[[#This Row],[Date ]]), (Tracking[Type]&lt;&gt;"Income")*(-1) + (Tracking[Type]="Income"))</f>
        <v>4150</v>
      </c>
      <c r="I55" s="30">
        <f>IF(AND(Tracking[[#This Row],[Type]]="Income", shift_late_income_status="Yes(Active)", DAY(Tracking[[#This Row],[Date ]])&gt;=shift_late_income_starting_day), DATE(YEAR(Tracking[[#This Row],[Date ]]), MONTH(Tracking[[#This Row],[Date ]])+1, 1), Tracking[[#This Row],[Date ]])</f>
        <v>45717</v>
      </c>
    </row>
    <row r="56" spans="3:9" x14ac:dyDescent="0.25">
      <c r="C56" s="26">
        <v>45714</v>
      </c>
      <c r="D56" s="25" t="s">
        <v>8</v>
      </c>
      <c r="E56" s="25" t="s">
        <v>24</v>
      </c>
      <c r="F56" s="106">
        <v>50</v>
      </c>
      <c r="G56" s="27"/>
      <c r="H56" s="109" cm="1">
        <f t="array" ref="H56">SUMPRODUCT(Tracking[Amount], --(Tracking[[Date ]]&lt;=Tracking[[#This Row],[Date ]]), (Tracking[Type]&lt;&gt;"Income")*(-1) + (Tracking[Type]="Income"))</f>
        <v>4100</v>
      </c>
      <c r="I56" s="30">
        <f>IF(AND(Tracking[[#This Row],[Type]]="Income", shift_late_income_status="Yes(Active)", DAY(Tracking[[#This Row],[Date ]])&gt;=shift_late_income_starting_day), DATE(YEAR(Tracking[[#This Row],[Date ]]), MONTH(Tracking[[#This Row],[Date ]])+1, 1), Tracking[[#This Row],[Date ]])</f>
        <v>45714</v>
      </c>
    </row>
    <row r="57" spans="3:9" x14ac:dyDescent="0.25">
      <c r="C57" s="26">
        <v>45715</v>
      </c>
      <c r="D57" s="25" t="s">
        <v>8</v>
      </c>
      <c r="E57" s="25" t="s">
        <v>22</v>
      </c>
      <c r="F57" s="106">
        <v>60</v>
      </c>
      <c r="G57" s="27"/>
      <c r="H57" s="109" cm="1">
        <f t="array" ref="H57">SUMPRODUCT(Tracking[Amount], --(Tracking[[Date ]]&lt;=Tracking[[#This Row],[Date ]]), (Tracking[Type]&lt;&gt;"Income")*(-1) + (Tracking[Type]="Income"))</f>
        <v>4040</v>
      </c>
      <c r="I57" s="30">
        <f>IF(AND(Tracking[[#This Row],[Type]]="Income", shift_late_income_status="Yes(Active)", DAY(Tracking[[#This Row],[Date ]])&gt;=shift_late_income_starting_day), DATE(YEAR(Tracking[[#This Row],[Date ]]), MONTH(Tracking[[#This Row],[Date ]])+1, 1), Tracking[[#This Row],[Date ]])</f>
        <v>45715</v>
      </c>
    </row>
    <row r="58" spans="3:9" x14ac:dyDescent="0.25">
      <c r="C58" s="26">
        <v>45716</v>
      </c>
      <c r="D58" s="25" t="s">
        <v>13</v>
      </c>
      <c r="E58" s="25" t="s">
        <v>15</v>
      </c>
      <c r="F58" s="106">
        <v>400</v>
      </c>
      <c r="G58" s="27"/>
      <c r="H58" s="109" cm="1">
        <f t="array" ref="H58">SUMPRODUCT(Tracking[Amount], --(Tracking[[Date ]]&lt;=Tracking[[#This Row],[Date ]]), (Tracking[Type]&lt;&gt;"Income")*(-1) + (Tracking[Type]="Income"))</f>
        <v>3500</v>
      </c>
      <c r="I58" s="30">
        <f>IF(AND(Tracking[[#This Row],[Type]]="Income", shift_late_income_status="Yes(Active)", DAY(Tracking[[#This Row],[Date ]])&gt;=shift_late_income_starting_day), DATE(YEAR(Tracking[[#This Row],[Date ]]), MONTH(Tracking[[#This Row],[Date ]])+1, 1), Tracking[[#This Row],[Date ]])</f>
        <v>45716</v>
      </c>
    </row>
    <row r="59" spans="3:9" x14ac:dyDescent="0.25">
      <c r="C59" s="26">
        <v>45716</v>
      </c>
      <c r="D59" s="25" t="s">
        <v>13</v>
      </c>
      <c r="E59" s="25" t="s">
        <v>14</v>
      </c>
      <c r="F59" s="106">
        <v>140</v>
      </c>
      <c r="G59" s="27"/>
      <c r="H59" s="109" cm="1">
        <f t="array" ref="H59">SUMPRODUCT(Tracking[Amount], --(Tracking[[Date ]]&lt;=Tracking[[#This Row],[Date ]]), (Tracking[Type]&lt;&gt;"Income")*(-1) + (Tracking[Type]="Income"))</f>
        <v>3500</v>
      </c>
      <c r="I59" s="30">
        <f>IF(AND(Tracking[[#This Row],[Type]]="Income", shift_late_income_status="Yes(Active)", DAY(Tracking[[#This Row],[Date ]])&gt;=shift_late_income_starting_day), DATE(YEAR(Tracking[[#This Row],[Date ]]), MONTH(Tracking[[#This Row],[Date ]])+1, 1), Tracking[[#This Row],[Date ]])</f>
        <v>45716</v>
      </c>
    </row>
    <row r="60" spans="3:9" x14ac:dyDescent="0.25">
      <c r="C60" s="26">
        <v>45717</v>
      </c>
      <c r="D60" s="25" t="s">
        <v>8</v>
      </c>
      <c r="E60" s="25" t="s">
        <v>9</v>
      </c>
      <c r="F60" s="106">
        <v>1200</v>
      </c>
      <c r="G60" s="27"/>
      <c r="H60" s="109" cm="1">
        <f t="array" ref="H60">SUMPRODUCT(Tracking[Amount], --(Tracking[[Date ]]&lt;=Tracking[[#This Row],[Date ]]), (Tracking[Type]&lt;&gt;"Income")*(-1) + (Tracking[Type]="Income"))</f>
        <v>2300</v>
      </c>
      <c r="I60" s="30">
        <f>IF(AND(Tracking[[#This Row],[Type]]="Income", shift_late_income_status="Yes(Active)", DAY(Tracking[[#This Row],[Date ]])&gt;=shift_late_income_starting_day), DATE(YEAR(Tracking[[#This Row],[Date ]]), MONTH(Tracking[[#This Row],[Date ]])+1, 1), Tracking[[#This Row],[Date ]])</f>
        <v>45717</v>
      </c>
    </row>
    <row r="61" spans="3:9" x14ac:dyDescent="0.25">
      <c r="C61" s="26">
        <v>45718</v>
      </c>
      <c r="D61" s="25" t="s">
        <v>8</v>
      </c>
      <c r="E61" s="25" t="s">
        <v>10</v>
      </c>
      <c r="F61" s="106">
        <v>300</v>
      </c>
      <c r="G61" s="27"/>
      <c r="H61" s="109" cm="1">
        <f t="array" ref="H61">SUMPRODUCT(Tracking[Amount], --(Tracking[[Date ]]&lt;=Tracking[[#This Row],[Date ]]), (Tracking[Type]&lt;&gt;"Income")*(-1) + (Tracking[Type]="Income"))</f>
        <v>2000</v>
      </c>
      <c r="I61" s="30">
        <f>IF(AND(Tracking[[#This Row],[Type]]="Income", shift_late_income_status="Yes(Active)", DAY(Tracking[[#This Row],[Date ]])&gt;=shift_late_income_starting_day), DATE(YEAR(Tracking[[#This Row],[Date ]]), MONTH(Tracking[[#This Row],[Date ]])+1, 1), Tracking[[#This Row],[Date ]])</f>
        <v>45718</v>
      </c>
    </row>
    <row r="62" spans="3:9" x14ac:dyDescent="0.25">
      <c r="C62" s="26">
        <v>45719</v>
      </c>
      <c r="D62" s="25" t="s">
        <v>8</v>
      </c>
      <c r="E62" s="25" t="s">
        <v>11</v>
      </c>
      <c r="F62" s="106">
        <v>60</v>
      </c>
      <c r="G62" s="27"/>
      <c r="H62" s="109" cm="1">
        <f t="array" ref="H62">SUMPRODUCT(Tracking[Amount], --(Tracking[[Date ]]&lt;=Tracking[[#This Row],[Date ]]), (Tracking[Type]&lt;&gt;"Income")*(-1) + (Tracking[Type]="Income"))</f>
        <v>1940</v>
      </c>
      <c r="I62" s="30">
        <f>IF(AND(Tracking[[#This Row],[Type]]="Income", shift_late_income_status="Yes(Active)", DAY(Tracking[[#This Row],[Date ]])&gt;=shift_late_income_starting_day), DATE(YEAR(Tracking[[#This Row],[Date ]]), MONTH(Tracking[[#This Row],[Date ]])+1, 1), Tracking[[#This Row],[Date ]])</f>
        <v>45719</v>
      </c>
    </row>
    <row r="63" spans="3:9" x14ac:dyDescent="0.25">
      <c r="C63" s="26">
        <v>45720</v>
      </c>
      <c r="D63" s="25" t="s">
        <v>8</v>
      </c>
      <c r="E63" s="25" t="s">
        <v>22</v>
      </c>
      <c r="F63" s="106">
        <v>30</v>
      </c>
      <c r="G63" s="27"/>
      <c r="H63" s="109" cm="1">
        <f t="array" ref="H63">SUMPRODUCT(Tracking[Amount], --(Tracking[[Date ]]&lt;=Tracking[[#This Row],[Date ]]), (Tracking[Type]&lt;&gt;"Income")*(-1) + (Tracking[Type]="Income"))</f>
        <v>1910</v>
      </c>
      <c r="I63" s="30">
        <f>IF(AND(Tracking[[#This Row],[Type]]="Income", shift_late_income_status="Yes(Active)", DAY(Tracking[[#This Row],[Date ]])&gt;=shift_late_income_starting_day), DATE(YEAR(Tracking[[#This Row],[Date ]]), MONTH(Tracking[[#This Row],[Date ]])+1, 1), Tracking[[#This Row],[Date ]])</f>
        <v>45720</v>
      </c>
    </row>
    <row r="64" spans="3:9" x14ac:dyDescent="0.25">
      <c r="C64" s="26">
        <v>45722</v>
      </c>
      <c r="D64" s="25" t="s">
        <v>8</v>
      </c>
      <c r="E64" s="25" t="s">
        <v>20</v>
      </c>
      <c r="F64" s="106">
        <v>150</v>
      </c>
      <c r="G64" s="27"/>
      <c r="H64" s="109" cm="1">
        <f t="array" ref="H64">SUMPRODUCT(Tracking[Amount], --(Tracking[[Date ]]&lt;=Tracking[[#This Row],[Date ]]), (Tracking[Type]&lt;&gt;"Income")*(-1) + (Tracking[Type]="Income"))</f>
        <v>1760</v>
      </c>
      <c r="I64" s="30">
        <f>IF(AND(Tracking[[#This Row],[Type]]="Income", shift_late_income_status="Yes(Active)", DAY(Tracking[[#This Row],[Date ]])&gt;=shift_late_income_starting_day), DATE(YEAR(Tracking[[#This Row],[Date ]]), MONTH(Tracking[[#This Row],[Date ]])+1, 1), Tracking[[#This Row],[Date ]])</f>
        <v>45722</v>
      </c>
    </row>
    <row r="65" spans="3:9" x14ac:dyDescent="0.25">
      <c r="C65" s="26">
        <v>45723</v>
      </c>
      <c r="D65" s="25" t="s">
        <v>8</v>
      </c>
      <c r="E65" s="25" t="s">
        <v>19</v>
      </c>
      <c r="F65" s="106">
        <v>50</v>
      </c>
      <c r="G65" s="27"/>
      <c r="H65" s="109" cm="1">
        <f t="array" ref="H65">SUMPRODUCT(Tracking[Amount], --(Tracking[[Date ]]&lt;=Tracking[[#This Row],[Date ]]), (Tracking[Type]&lt;&gt;"Income")*(-1) + (Tracking[Type]="Income"))</f>
        <v>1710</v>
      </c>
      <c r="I65" s="30">
        <f>IF(AND(Tracking[[#This Row],[Type]]="Income", shift_late_income_status="Yes(Active)", DAY(Tracking[[#This Row],[Date ]])&gt;=shift_late_income_starting_day), DATE(YEAR(Tracking[[#This Row],[Date ]]), MONTH(Tracking[[#This Row],[Date ]])+1, 1), Tracking[[#This Row],[Date ]])</f>
        <v>45723</v>
      </c>
    </row>
    <row r="66" spans="3:9" x14ac:dyDescent="0.25">
      <c r="C66" s="26">
        <v>45725</v>
      </c>
      <c r="D66" s="25" t="s">
        <v>8</v>
      </c>
      <c r="E66" s="25" t="s">
        <v>24</v>
      </c>
      <c r="F66" s="106">
        <v>120</v>
      </c>
      <c r="G66" s="27"/>
      <c r="H66" s="109" cm="1">
        <f t="array" ref="H66">SUMPRODUCT(Tracking[Amount], --(Tracking[[Date ]]&lt;=Tracking[[#This Row],[Date ]]), (Tracking[Type]&lt;&gt;"Income")*(-1) + (Tracking[Type]="Income"))</f>
        <v>1590</v>
      </c>
      <c r="I66" s="30">
        <f>IF(AND(Tracking[[#This Row],[Type]]="Income", shift_late_income_status="Yes(Active)", DAY(Tracking[[#This Row],[Date ]])&gt;=shift_late_income_starting_day), DATE(YEAR(Tracking[[#This Row],[Date ]]), MONTH(Tracking[[#This Row],[Date ]])+1, 1), Tracking[[#This Row],[Date ]])</f>
        <v>45725</v>
      </c>
    </row>
    <row r="67" spans="3:9" x14ac:dyDescent="0.25">
      <c r="C67" s="26">
        <v>45726</v>
      </c>
      <c r="D67" s="25" t="s">
        <v>4</v>
      </c>
      <c r="E67" s="25" t="s">
        <v>7</v>
      </c>
      <c r="F67" s="106">
        <v>100</v>
      </c>
      <c r="G67" s="27"/>
      <c r="H67" s="109" cm="1">
        <f t="array" ref="H67">SUMPRODUCT(Tracking[Amount], --(Tracking[[Date ]]&lt;=Tracking[[#This Row],[Date ]]), (Tracking[Type]&lt;&gt;"Income")*(-1) + (Tracking[Type]="Income"))</f>
        <v>1690</v>
      </c>
      <c r="I67" s="30">
        <f>IF(AND(Tracking[[#This Row],[Type]]="Income", shift_late_income_status="Yes(Active)", DAY(Tracking[[#This Row],[Date ]])&gt;=shift_late_income_starting_day), DATE(YEAR(Tracking[[#This Row],[Date ]]), MONTH(Tracking[[#This Row],[Date ]])+1, 1), Tracking[[#This Row],[Date ]])</f>
        <v>45726</v>
      </c>
    </row>
    <row r="68" spans="3:9" x14ac:dyDescent="0.25">
      <c r="C68" s="26">
        <v>45728</v>
      </c>
      <c r="D68" s="25" t="s">
        <v>8</v>
      </c>
      <c r="E68" s="25" t="s">
        <v>23</v>
      </c>
      <c r="F68" s="106">
        <v>50</v>
      </c>
      <c r="G68" s="27"/>
      <c r="H68" s="109" cm="1">
        <f t="array" ref="H68">SUMPRODUCT(Tracking[Amount], --(Tracking[[Date ]]&lt;=Tracking[[#This Row],[Date ]]), (Tracking[Type]&lt;&gt;"Income")*(-1) + (Tracking[Type]="Income"))</f>
        <v>1640</v>
      </c>
      <c r="I68" s="30">
        <f>IF(AND(Tracking[[#This Row],[Type]]="Income", shift_late_income_status="Yes(Active)", DAY(Tracking[[#This Row],[Date ]])&gt;=shift_late_income_starting_day), DATE(YEAR(Tracking[[#This Row],[Date ]]), MONTH(Tracking[[#This Row],[Date ]])+1, 1), Tracking[[#This Row],[Date ]])</f>
        <v>45728</v>
      </c>
    </row>
    <row r="69" spans="3:9" x14ac:dyDescent="0.25">
      <c r="C69" s="26">
        <v>45729</v>
      </c>
      <c r="D69" s="25" t="s">
        <v>8</v>
      </c>
      <c r="E69" s="25" t="s">
        <v>11</v>
      </c>
      <c r="F69" s="106">
        <v>120</v>
      </c>
      <c r="G69" s="27"/>
      <c r="H69" s="109" cm="1">
        <f t="array" ref="H69">SUMPRODUCT(Tracking[Amount], --(Tracking[[Date ]]&lt;=Tracking[[#This Row],[Date ]]), (Tracking[Type]&lt;&gt;"Income")*(-1) + (Tracking[Type]="Income"))</f>
        <v>1520</v>
      </c>
      <c r="I69" s="30">
        <f>IF(AND(Tracking[[#This Row],[Type]]="Income", shift_late_income_status="Yes(Active)", DAY(Tracking[[#This Row],[Date ]])&gt;=shift_late_income_starting_day), DATE(YEAR(Tracking[[#This Row],[Date ]]), MONTH(Tracking[[#This Row],[Date ]])+1, 1), Tracking[[#This Row],[Date ]])</f>
        <v>45729</v>
      </c>
    </row>
    <row r="70" spans="3:9" x14ac:dyDescent="0.25">
      <c r="C70" s="26">
        <v>45731</v>
      </c>
      <c r="D70" s="25" t="s">
        <v>4</v>
      </c>
      <c r="E70" s="25" t="s">
        <v>33</v>
      </c>
      <c r="F70" s="106">
        <v>1100</v>
      </c>
      <c r="G70" s="27"/>
      <c r="H70" s="109" cm="1">
        <f t="array" ref="H70">SUMPRODUCT(Tracking[Amount], --(Tracking[[Date ]]&lt;=Tracking[[#This Row],[Date ]]), (Tracking[Type]&lt;&gt;"Income")*(-1) + (Tracking[Type]="Income"))</f>
        <v>2620</v>
      </c>
      <c r="I70" s="30">
        <f>IF(AND(Tracking[[#This Row],[Type]]="Income", shift_late_income_status="Yes(Active)", DAY(Tracking[[#This Row],[Date ]])&gt;=shift_late_income_starting_day), DATE(YEAR(Tracking[[#This Row],[Date ]]), MONTH(Tracking[[#This Row],[Date ]])+1, 1), Tracking[[#This Row],[Date ]])</f>
        <v>45731</v>
      </c>
    </row>
    <row r="71" spans="3:9" x14ac:dyDescent="0.25">
      <c r="F71" s="108"/>
      <c r="H71" s="108"/>
    </row>
    <row r="72" spans="3:9" x14ac:dyDescent="0.25">
      <c r="F72" s="108"/>
      <c r="H72" s="108"/>
    </row>
    <row r="73" spans="3:9" x14ac:dyDescent="0.25">
      <c r="F73" s="108"/>
      <c r="H73" s="108"/>
    </row>
    <row r="74" spans="3:9" x14ac:dyDescent="0.25">
      <c r="F74" s="108"/>
      <c r="H74" s="108"/>
    </row>
    <row r="75" spans="3:9" x14ac:dyDescent="0.25">
      <c r="F75" s="108"/>
      <c r="H75" s="108"/>
    </row>
    <row r="76" spans="3:9" x14ac:dyDescent="0.25">
      <c r="F76" s="108"/>
      <c r="H76" s="108"/>
    </row>
    <row r="77" spans="3:9" x14ac:dyDescent="0.25">
      <c r="F77" s="108"/>
      <c r="H77" s="108"/>
    </row>
    <row r="78" spans="3:9" x14ac:dyDescent="0.25">
      <c r="F78" s="108"/>
      <c r="H78" s="108"/>
    </row>
    <row r="79" spans="3:9" x14ac:dyDescent="0.25">
      <c r="F79" s="108"/>
      <c r="H79" s="108"/>
    </row>
    <row r="80" spans="3:9" x14ac:dyDescent="0.25">
      <c r="F80" s="108"/>
      <c r="H80" s="108"/>
    </row>
    <row r="81" spans="6:8" x14ac:dyDescent="0.25">
      <c r="F81" s="108"/>
      <c r="H81" s="108"/>
    </row>
    <row r="82" spans="6:8" x14ac:dyDescent="0.25">
      <c r="F82" s="108"/>
      <c r="H82" s="108"/>
    </row>
    <row r="83" spans="6:8" x14ac:dyDescent="0.25">
      <c r="F83" s="108"/>
      <c r="H83" s="108"/>
    </row>
    <row r="84" spans="6:8" x14ac:dyDescent="0.25">
      <c r="F84" s="108"/>
      <c r="H84" s="108"/>
    </row>
    <row r="85" spans="6:8" x14ac:dyDescent="0.25">
      <c r="F85" s="108"/>
      <c r="H85" s="108"/>
    </row>
    <row r="86" spans="6:8" x14ac:dyDescent="0.25">
      <c r="F86" s="108"/>
      <c r="H86" s="108"/>
    </row>
    <row r="87" spans="6:8" x14ac:dyDescent="0.25">
      <c r="F87" s="108"/>
      <c r="H87" s="108"/>
    </row>
    <row r="88" spans="6:8" x14ac:dyDescent="0.25">
      <c r="F88" s="108"/>
      <c r="H88" s="108"/>
    </row>
    <row r="89" spans="6:8" x14ac:dyDescent="0.25">
      <c r="F89" s="108"/>
      <c r="H89" s="108"/>
    </row>
    <row r="90" spans="6:8" x14ac:dyDescent="0.25">
      <c r="F90" s="108"/>
      <c r="H90" s="108"/>
    </row>
    <row r="91" spans="6:8" x14ac:dyDescent="0.25">
      <c r="F91" s="108"/>
      <c r="H91" s="108"/>
    </row>
    <row r="92" spans="6:8" x14ac:dyDescent="0.25">
      <c r="F92" s="108"/>
      <c r="H92" s="108"/>
    </row>
    <row r="93" spans="6:8" x14ac:dyDescent="0.25">
      <c r="F93" s="108"/>
      <c r="H93" s="108"/>
    </row>
    <row r="94" spans="6:8" x14ac:dyDescent="0.25">
      <c r="F94" s="108"/>
      <c r="H94" s="108"/>
    </row>
    <row r="95" spans="6:8" x14ac:dyDescent="0.25">
      <c r="F95" s="108"/>
      <c r="H95" s="108"/>
    </row>
    <row r="96" spans="6:8" x14ac:dyDescent="0.25">
      <c r="F96" s="108"/>
      <c r="H96" s="108"/>
    </row>
    <row r="97" spans="6:8" x14ac:dyDescent="0.25">
      <c r="F97" s="108"/>
      <c r="H97" s="108"/>
    </row>
    <row r="98" spans="6:8" x14ac:dyDescent="0.25">
      <c r="F98" s="108"/>
      <c r="H98" s="108"/>
    </row>
    <row r="99" spans="6:8" x14ac:dyDescent="0.25">
      <c r="F99" s="108"/>
      <c r="H99" s="108"/>
    </row>
    <row r="100" spans="6:8" x14ac:dyDescent="0.25">
      <c r="F100" s="108"/>
      <c r="H100" s="108"/>
    </row>
    <row r="101" spans="6:8" x14ac:dyDescent="0.25">
      <c r="F101" s="108"/>
      <c r="H101" s="108"/>
    </row>
    <row r="102" spans="6:8" x14ac:dyDescent="0.25">
      <c r="F102" s="108"/>
      <c r="H102" s="108"/>
    </row>
    <row r="103" spans="6:8" x14ac:dyDescent="0.25">
      <c r="F103" s="108"/>
      <c r="H103" s="108"/>
    </row>
    <row r="104" spans="6:8" x14ac:dyDescent="0.25">
      <c r="F104" s="108"/>
      <c r="H104" s="108"/>
    </row>
    <row r="105" spans="6:8" x14ac:dyDescent="0.25">
      <c r="F105" s="108"/>
      <c r="H105" s="108"/>
    </row>
    <row r="106" spans="6:8" x14ac:dyDescent="0.25">
      <c r="F106" s="108"/>
      <c r="H106" s="108"/>
    </row>
    <row r="107" spans="6:8" x14ac:dyDescent="0.25">
      <c r="F107" s="108"/>
      <c r="H107" s="108"/>
    </row>
    <row r="108" spans="6:8" x14ac:dyDescent="0.25">
      <c r="F108" s="108"/>
      <c r="H108" s="108"/>
    </row>
    <row r="109" spans="6:8" x14ac:dyDescent="0.25">
      <c r="F109" s="108"/>
      <c r="H109" s="108"/>
    </row>
    <row r="110" spans="6:8" x14ac:dyDescent="0.25">
      <c r="F110" s="108"/>
      <c r="H110" s="108"/>
    </row>
    <row r="111" spans="6:8" x14ac:dyDescent="0.25">
      <c r="F111" s="108"/>
      <c r="H111" s="108"/>
    </row>
    <row r="112" spans="6:8" x14ac:dyDescent="0.25">
      <c r="F112" s="108"/>
      <c r="H112" s="108"/>
    </row>
    <row r="113" spans="6:8" x14ac:dyDescent="0.25">
      <c r="F113" s="108"/>
      <c r="H113" s="108"/>
    </row>
    <row r="114" spans="6:8" x14ac:dyDescent="0.25">
      <c r="F114" s="108"/>
      <c r="H114" s="108"/>
    </row>
    <row r="115" spans="6:8" x14ac:dyDescent="0.25">
      <c r="F115" s="108"/>
      <c r="H115" s="108"/>
    </row>
    <row r="116" spans="6:8" x14ac:dyDescent="0.25">
      <c r="F116" s="108"/>
      <c r="H116" s="108"/>
    </row>
    <row r="117" spans="6:8" x14ac:dyDescent="0.25">
      <c r="F117" s="108"/>
      <c r="H117" s="108"/>
    </row>
    <row r="118" spans="6:8" x14ac:dyDescent="0.25">
      <c r="F118" s="108"/>
      <c r="H118" s="108"/>
    </row>
    <row r="119" spans="6:8" x14ac:dyDescent="0.25">
      <c r="F119" s="108"/>
      <c r="H119" s="108"/>
    </row>
    <row r="120" spans="6:8" x14ac:dyDescent="0.25">
      <c r="F120" s="108"/>
      <c r="H120" s="108"/>
    </row>
    <row r="121" spans="6:8" x14ac:dyDescent="0.25">
      <c r="F121" s="108"/>
      <c r="H121" s="108"/>
    </row>
    <row r="122" spans="6:8" x14ac:dyDescent="0.25">
      <c r="F122" s="108"/>
      <c r="H122" s="108"/>
    </row>
    <row r="123" spans="6:8" x14ac:dyDescent="0.25">
      <c r="F123" s="108"/>
      <c r="H123" s="108"/>
    </row>
    <row r="124" spans="6:8" x14ac:dyDescent="0.25">
      <c r="F124" s="108"/>
      <c r="H124" s="108"/>
    </row>
    <row r="125" spans="6:8" x14ac:dyDescent="0.25">
      <c r="F125" s="108"/>
      <c r="H125" s="108"/>
    </row>
    <row r="126" spans="6:8" x14ac:dyDescent="0.25">
      <c r="F126" s="108"/>
      <c r="H126" s="108"/>
    </row>
    <row r="127" spans="6:8" x14ac:dyDescent="0.25">
      <c r="F127" s="108"/>
      <c r="H127" s="108"/>
    </row>
    <row r="128" spans="6:8" x14ac:dyDescent="0.25">
      <c r="F128" s="108"/>
      <c r="H128" s="108"/>
    </row>
    <row r="129" spans="6:8" x14ac:dyDescent="0.25">
      <c r="F129" s="108"/>
      <c r="H129" s="108"/>
    </row>
    <row r="130" spans="6:8" x14ac:dyDescent="0.25">
      <c r="F130" s="108"/>
      <c r="H130" s="108"/>
    </row>
    <row r="131" spans="6:8" x14ac:dyDescent="0.25">
      <c r="F131" s="108"/>
      <c r="H131" s="108"/>
    </row>
    <row r="132" spans="6:8" x14ac:dyDescent="0.25">
      <c r="F132" s="108"/>
      <c r="H132" s="108"/>
    </row>
    <row r="133" spans="6:8" x14ac:dyDescent="0.25">
      <c r="F133" s="108"/>
      <c r="H133" s="108"/>
    </row>
    <row r="134" spans="6:8" x14ac:dyDescent="0.25">
      <c r="F134" s="108"/>
      <c r="H134" s="108"/>
    </row>
    <row r="135" spans="6:8" x14ac:dyDescent="0.25">
      <c r="F135" s="108"/>
      <c r="H135" s="108"/>
    </row>
    <row r="136" spans="6:8" x14ac:dyDescent="0.25">
      <c r="F136" s="108"/>
      <c r="H136" s="108"/>
    </row>
    <row r="137" spans="6:8" x14ac:dyDescent="0.25">
      <c r="F137" s="108"/>
      <c r="H137" s="108"/>
    </row>
    <row r="138" spans="6:8" x14ac:dyDescent="0.25">
      <c r="F138" s="108"/>
      <c r="H138" s="108"/>
    </row>
    <row r="139" spans="6:8" x14ac:dyDescent="0.25">
      <c r="F139" s="108"/>
      <c r="H139" s="108"/>
    </row>
    <row r="140" spans="6:8" x14ac:dyDescent="0.25">
      <c r="F140" s="108"/>
      <c r="H140" s="108"/>
    </row>
    <row r="141" spans="6:8" x14ac:dyDescent="0.25">
      <c r="F141" s="108"/>
      <c r="H141" s="108"/>
    </row>
    <row r="142" spans="6:8" x14ac:dyDescent="0.25">
      <c r="F142" s="108"/>
      <c r="H142" s="108"/>
    </row>
    <row r="143" spans="6:8" x14ac:dyDescent="0.25">
      <c r="F143" s="108"/>
      <c r="H143" s="108"/>
    </row>
    <row r="144" spans="6:8" x14ac:dyDescent="0.25">
      <c r="F144" s="108"/>
      <c r="H144" s="108"/>
    </row>
    <row r="145" spans="6:8" x14ac:dyDescent="0.25">
      <c r="F145" s="108"/>
      <c r="H145" s="108"/>
    </row>
    <row r="146" spans="6:8" x14ac:dyDescent="0.25">
      <c r="F146" s="108"/>
      <c r="H146" s="108"/>
    </row>
    <row r="147" spans="6:8" x14ac:dyDescent="0.25">
      <c r="F147" s="108"/>
      <c r="H147" s="108"/>
    </row>
    <row r="148" spans="6:8" x14ac:dyDescent="0.25">
      <c r="F148" s="108"/>
      <c r="H148" s="108"/>
    </row>
    <row r="149" spans="6:8" x14ac:dyDescent="0.25">
      <c r="F149" s="108"/>
      <c r="H149" s="108"/>
    </row>
    <row r="150" spans="6:8" x14ac:dyDescent="0.25">
      <c r="F150" s="108"/>
      <c r="H150" s="108"/>
    </row>
    <row r="151" spans="6:8" x14ac:dyDescent="0.25">
      <c r="F151" s="108"/>
      <c r="H151" s="108"/>
    </row>
    <row r="152" spans="6:8" x14ac:dyDescent="0.25">
      <c r="F152" s="108"/>
      <c r="H152" s="108"/>
    </row>
    <row r="153" spans="6:8" x14ac:dyDescent="0.25">
      <c r="F153" s="108"/>
      <c r="H153" s="108"/>
    </row>
    <row r="154" spans="6:8" x14ac:dyDescent="0.25">
      <c r="F154" s="108"/>
      <c r="H154" s="108"/>
    </row>
    <row r="155" spans="6:8" x14ac:dyDescent="0.25">
      <c r="F155" s="108"/>
      <c r="H155" s="108"/>
    </row>
    <row r="156" spans="6:8" x14ac:dyDescent="0.25">
      <c r="F156" s="108"/>
      <c r="H156" s="108"/>
    </row>
    <row r="157" spans="6:8" x14ac:dyDescent="0.25">
      <c r="F157" s="108"/>
      <c r="H157" s="108"/>
    </row>
    <row r="158" spans="6:8" x14ac:dyDescent="0.25">
      <c r="F158" s="108"/>
      <c r="H158" s="108"/>
    </row>
    <row r="159" spans="6:8" x14ac:dyDescent="0.25">
      <c r="F159" s="108"/>
      <c r="H159" s="108"/>
    </row>
    <row r="160" spans="6:8" x14ac:dyDescent="0.25">
      <c r="F160" s="108"/>
      <c r="H160" s="108"/>
    </row>
    <row r="161" spans="6:8" x14ac:dyDescent="0.25">
      <c r="F161" s="108"/>
      <c r="H161" s="108"/>
    </row>
    <row r="162" spans="6:8" x14ac:dyDescent="0.25">
      <c r="F162" s="108"/>
      <c r="H162" s="108"/>
    </row>
    <row r="163" spans="6:8" x14ac:dyDescent="0.25">
      <c r="F163" s="108"/>
      <c r="H163" s="108"/>
    </row>
    <row r="164" spans="6:8" x14ac:dyDescent="0.25">
      <c r="F164" s="108"/>
      <c r="H164" s="108"/>
    </row>
    <row r="165" spans="6:8" x14ac:dyDescent="0.25">
      <c r="F165" s="108"/>
      <c r="H165" s="108"/>
    </row>
    <row r="166" spans="6:8" x14ac:dyDescent="0.25">
      <c r="F166" s="108"/>
      <c r="H166" s="108"/>
    </row>
    <row r="167" spans="6:8" x14ac:dyDescent="0.25">
      <c r="F167" s="108"/>
      <c r="H167" s="108"/>
    </row>
    <row r="168" spans="6:8" x14ac:dyDescent="0.25">
      <c r="F168" s="108"/>
      <c r="H168" s="108"/>
    </row>
    <row r="169" spans="6:8" x14ac:dyDescent="0.25">
      <c r="F169" s="108"/>
      <c r="H169" s="108"/>
    </row>
    <row r="170" spans="6:8" x14ac:dyDescent="0.25">
      <c r="F170" s="108"/>
      <c r="H170" s="108"/>
    </row>
    <row r="171" spans="6:8" x14ac:dyDescent="0.25">
      <c r="F171" s="108"/>
      <c r="H171" s="108"/>
    </row>
    <row r="172" spans="6:8" x14ac:dyDescent="0.25">
      <c r="F172" s="108"/>
      <c r="H172" s="108"/>
    </row>
    <row r="173" spans="6:8" x14ac:dyDescent="0.25">
      <c r="F173" s="108"/>
      <c r="H173" s="108"/>
    </row>
    <row r="174" spans="6:8" x14ac:dyDescent="0.25">
      <c r="F174" s="108"/>
      <c r="H174" s="108"/>
    </row>
    <row r="175" spans="6:8" x14ac:dyDescent="0.25">
      <c r="F175" s="108"/>
      <c r="H175" s="108"/>
    </row>
    <row r="176" spans="6:8" x14ac:dyDescent="0.25">
      <c r="F176" s="108"/>
      <c r="H176" s="108"/>
    </row>
    <row r="177" spans="6:8" x14ac:dyDescent="0.25">
      <c r="F177" s="108"/>
      <c r="H177" s="108"/>
    </row>
    <row r="178" spans="6:8" x14ac:dyDescent="0.25">
      <c r="F178" s="108"/>
      <c r="H178" s="108"/>
    </row>
    <row r="179" spans="6:8" x14ac:dyDescent="0.25">
      <c r="F179" s="108"/>
      <c r="H179" s="108"/>
    </row>
    <row r="180" spans="6:8" x14ac:dyDescent="0.25">
      <c r="F180" s="108"/>
      <c r="H180" s="108"/>
    </row>
    <row r="181" spans="6:8" x14ac:dyDescent="0.25">
      <c r="F181" s="108"/>
      <c r="H181" s="108"/>
    </row>
    <row r="182" spans="6:8" x14ac:dyDescent="0.25">
      <c r="F182" s="108"/>
      <c r="H182" s="108"/>
    </row>
    <row r="183" spans="6:8" x14ac:dyDescent="0.25">
      <c r="F183" s="108"/>
      <c r="H183" s="108"/>
    </row>
    <row r="184" spans="6:8" x14ac:dyDescent="0.25">
      <c r="F184" s="108"/>
      <c r="H184" s="108"/>
    </row>
    <row r="185" spans="6:8" x14ac:dyDescent="0.25">
      <c r="F185" s="108"/>
      <c r="H185" s="108"/>
    </row>
    <row r="186" spans="6:8" x14ac:dyDescent="0.25">
      <c r="F186" s="108"/>
      <c r="H186" s="108"/>
    </row>
    <row r="187" spans="6:8" x14ac:dyDescent="0.25">
      <c r="F187" s="108"/>
      <c r="H187" s="108"/>
    </row>
    <row r="188" spans="6:8" x14ac:dyDescent="0.25">
      <c r="F188" s="108"/>
      <c r="H188" s="108"/>
    </row>
    <row r="189" spans="6:8" x14ac:dyDescent="0.25">
      <c r="F189" s="108"/>
      <c r="H189" s="108"/>
    </row>
    <row r="190" spans="6:8" x14ac:dyDescent="0.25">
      <c r="F190" s="108"/>
      <c r="H190" s="108"/>
    </row>
    <row r="191" spans="6:8" x14ac:dyDescent="0.25">
      <c r="F191" s="108"/>
      <c r="H191" s="108"/>
    </row>
    <row r="192" spans="6:8" x14ac:dyDescent="0.25">
      <c r="F192" s="108"/>
      <c r="H192" s="108"/>
    </row>
    <row r="193" spans="6:8" x14ac:dyDescent="0.25">
      <c r="F193" s="108"/>
      <c r="H193" s="108"/>
    </row>
    <row r="194" spans="6:8" x14ac:dyDescent="0.25">
      <c r="F194" s="108"/>
      <c r="H194" s="108"/>
    </row>
    <row r="195" spans="6:8" x14ac:dyDescent="0.25">
      <c r="F195" s="108"/>
      <c r="H195" s="108"/>
    </row>
    <row r="196" spans="6:8" x14ac:dyDescent="0.25">
      <c r="F196" s="108"/>
      <c r="H196" s="108"/>
    </row>
    <row r="197" spans="6:8" x14ac:dyDescent="0.25">
      <c r="F197" s="108"/>
      <c r="H197" s="108"/>
    </row>
    <row r="198" spans="6:8" x14ac:dyDescent="0.25">
      <c r="F198" s="108"/>
      <c r="H198" s="108"/>
    </row>
    <row r="199" spans="6:8" x14ac:dyDescent="0.25">
      <c r="F199" s="108"/>
      <c r="H199" s="108"/>
    </row>
    <row r="200" spans="6:8" x14ac:dyDescent="0.25">
      <c r="F200" s="108"/>
      <c r="H200" s="108"/>
    </row>
  </sheetData>
  <conditionalFormatting sqref="E12:E70">
    <cfRule type="expression" dxfId="34" priority="6">
      <formula>ISNA(MATCH(E12, INDIRECT(D12), 0))</formula>
    </cfRule>
  </conditionalFormatting>
  <conditionalFormatting sqref="F12:F70">
    <cfRule type="expression" dxfId="33" priority="2">
      <formula>D12="Savings"</formula>
    </cfRule>
    <cfRule type="expression" dxfId="32" priority="3">
      <formula>D12="Expenses"</formula>
    </cfRule>
    <cfRule type="expression" dxfId="31" priority="5">
      <formula>D12="Income"</formula>
    </cfRule>
  </conditionalFormatting>
  <conditionalFormatting sqref="I12:I70">
    <cfRule type="expression" dxfId="30" priority="1">
      <formula>AND(D12="Income", shift_late_income_status="Yes(Active)", DAY(C12)&gt;=shift_late_income_starting_day)</formula>
    </cfRule>
  </conditionalFormatting>
  <dataValidations count="4">
    <dataValidation type="date" operator="greaterThan" allowBlank="1" showInputMessage="1" showErrorMessage="1" errorTitle="Invalid Date" error="Please enter a valid date." sqref="C12:C70" xr:uid="{A1F2EF3A-DF27-46F6-AD2F-8979DDB787CB}">
      <formula1>1</formula1>
    </dataValidation>
    <dataValidation type="list" allowBlank="1" showInputMessage="1" showErrorMessage="1" errorTitle="Invalid Type" error="PLease select a valid type from the dropdown list." sqref="D12:D70" xr:uid="{69EE864D-E2B8-4604-BF68-AD4C8900B906}">
      <formula1>"Income, Expenses, Savings"</formula1>
    </dataValidation>
    <dataValidation type="list" allowBlank="1" showInputMessage="1" showErrorMessage="1" errorTitle="Invalid Category" error="Please select a valid category from the dropdown list." sqref="E12:E70" xr:uid="{AABBBF5B-1938-43CB-AA1D-55382647F8CB}">
      <formula1>INDIRECT(D12)</formula1>
    </dataValidation>
    <dataValidation type="custom" allowBlank="1" showInputMessage="1" showErrorMessage="1" errorTitle="Invalid Amount" error="PLease enter a valid number." sqref="F12:F70" xr:uid="{6ECEFA57-C3D3-42CA-B2B7-52F4EE24DF8D}">
      <formula1>ISNUMBER(F12)</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B096-132B-4762-975E-155FB079DC1A}">
  <sheetPr>
    <tabColor rgb="FF92D050"/>
  </sheetPr>
  <dimension ref="C1:AR200"/>
  <sheetViews>
    <sheetView showGridLines="0" tabSelected="1" zoomScale="93" zoomScaleNormal="100" workbookViewId="0">
      <selection activeCell="AT13" sqref="AT13"/>
    </sheetView>
  </sheetViews>
  <sheetFormatPr defaultRowHeight="15" x14ac:dyDescent="0.25"/>
  <cols>
    <col min="1" max="1" width="4.42578125" customWidth="1"/>
    <col min="2" max="2" width="1.5703125" customWidth="1"/>
    <col min="3" max="3" width="9.140625" hidden="1" customWidth="1"/>
    <col min="4" max="4" width="12.5703125" hidden="1" customWidth="1"/>
    <col min="5" max="9" width="9.140625" hidden="1" customWidth="1"/>
    <col min="10" max="10" width="25.7109375" hidden="1" customWidth="1"/>
    <col min="11" max="11" width="22.42578125" style="23" hidden="1" customWidth="1"/>
    <col min="12" max="12" width="9.140625" style="23" hidden="1" customWidth="1"/>
    <col min="13" max="13" width="10.7109375" style="49" hidden="1" customWidth="1"/>
    <col min="14" max="14" width="10.5703125" style="49" hidden="1" customWidth="1"/>
    <col min="15" max="15" width="13.42578125" style="49" hidden="1" customWidth="1"/>
    <col min="16" max="16" width="10" style="49" hidden="1" customWidth="1"/>
    <col min="17" max="17" width="12.85546875" style="49" hidden="1" customWidth="1"/>
    <col min="18" max="18" width="10.140625" style="49" hidden="1" customWidth="1"/>
    <col min="19" max="19" width="11.42578125" style="49" hidden="1" customWidth="1"/>
    <col min="20" max="20" width="16" style="49" hidden="1" customWidth="1"/>
    <col min="21" max="21" width="14.140625" style="49" hidden="1" customWidth="1"/>
    <col min="22" max="22" width="1.5703125" style="49" hidden="1" customWidth="1"/>
    <col min="23" max="23" width="14.7109375" style="23" hidden="1" customWidth="1"/>
    <col min="24" max="24" width="15" style="23" hidden="1" customWidth="1"/>
    <col min="25" max="25" width="26.5703125" customWidth="1"/>
    <col min="26" max="27" width="10.85546875" customWidth="1"/>
    <col min="28" max="28" width="7.85546875" customWidth="1"/>
    <col min="29" max="30" width="10.85546875" customWidth="1"/>
    <col min="31" max="31" width="4.42578125" customWidth="1"/>
    <col min="32" max="33" width="14" customWidth="1"/>
    <col min="34" max="34" width="1.85546875" customWidth="1"/>
    <col min="35" max="35" width="15.7109375" customWidth="1"/>
    <col min="36" max="36" width="8.7109375" customWidth="1"/>
    <col min="37" max="37" width="6" customWidth="1"/>
    <col min="38" max="38" width="3.140625" customWidth="1"/>
    <col min="39" max="40" width="14" customWidth="1"/>
    <col min="41" max="41" width="1.85546875" customWidth="1"/>
    <col min="42" max="42" width="15.7109375" customWidth="1"/>
    <col min="43" max="43" width="8.7109375" customWidth="1"/>
    <col min="44" max="44" width="6" customWidth="1"/>
  </cols>
  <sheetData>
    <row r="1" spans="3:44" s="22" customFormat="1" ht="7.5" customHeight="1" x14ac:dyDescent="0.25">
      <c r="K1" s="46"/>
      <c r="L1" s="46"/>
      <c r="M1" s="48"/>
      <c r="N1" s="48"/>
      <c r="O1" s="48"/>
      <c r="P1" s="48"/>
      <c r="Q1" s="48"/>
      <c r="R1" s="48"/>
      <c r="S1" s="48"/>
      <c r="T1" s="48"/>
      <c r="U1" s="48"/>
      <c r="V1" s="48"/>
      <c r="W1" s="46"/>
      <c r="X1" s="46"/>
    </row>
    <row r="2" spans="3:44" s="22" customFormat="1" ht="25.5" customHeight="1" x14ac:dyDescent="0.25">
      <c r="K2" s="46"/>
      <c r="L2" s="46"/>
      <c r="M2" s="48"/>
      <c r="N2" s="48"/>
      <c r="O2" s="48"/>
      <c r="P2" s="48"/>
      <c r="Q2" s="48"/>
      <c r="R2" s="48"/>
      <c r="S2" s="48"/>
      <c r="T2" s="48"/>
      <c r="U2" s="48"/>
      <c r="V2" s="48"/>
      <c r="W2" s="46"/>
      <c r="X2" s="46"/>
    </row>
    <row r="3" spans="3:44" s="22" customFormat="1" ht="7.5" customHeight="1" x14ac:dyDescent="0.25">
      <c r="K3" s="46"/>
      <c r="L3" s="46"/>
      <c r="M3" s="48"/>
      <c r="N3" s="48"/>
      <c r="O3" s="48"/>
      <c r="P3" s="48"/>
      <c r="Q3" s="48"/>
      <c r="R3" s="48"/>
      <c r="S3" s="48"/>
      <c r="T3" s="48"/>
      <c r="U3" s="48"/>
      <c r="V3" s="48"/>
      <c r="W3" s="46"/>
      <c r="X3" s="46"/>
    </row>
    <row r="5" spans="3:44" x14ac:dyDescent="0.25">
      <c r="AQ5" s="63" t="s">
        <v>50</v>
      </c>
      <c r="AR5" s="64"/>
    </row>
    <row r="6" spans="3:44" x14ac:dyDescent="0.25">
      <c r="AN6" s="66" t="s">
        <v>51</v>
      </c>
      <c r="AO6" s="66"/>
      <c r="AP6" s="66"/>
      <c r="AQ6" s="65" t="s">
        <v>55</v>
      </c>
      <c r="AR6" s="65"/>
    </row>
    <row r="8" spans="3:44" x14ac:dyDescent="0.25">
      <c r="I8" s="45"/>
      <c r="AQ8" s="63" t="s">
        <v>52</v>
      </c>
      <c r="AR8" s="64"/>
    </row>
    <row r="9" spans="3:44" x14ac:dyDescent="0.25">
      <c r="AN9" s="66" t="s">
        <v>53</v>
      </c>
      <c r="AO9" s="66"/>
      <c r="AP9" s="66"/>
      <c r="AQ9" s="67" t="s">
        <v>57</v>
      </c>
      <c r="AR9" s="67"/>
    </row>
    <row r="11" spans="3:44" x14ac:dyDescent="0.25">
      <c r="C11" s="22"/>
      <c r="D11" s="22"/>
      <c r="E11" s="22"/>
      <c r="F11" s="22"/>
      <c r="G11" s="22"/>
      <c r="H11" s="22"/>
      <c r="I11" s="22"/>
      <c r="J11" s="22"/>
      <c r="K11" s="46"/>
      <c r="L11" s="46"/>
      <c r="M11" s="48"/>
      <c r="N11" s="48"/>
      <c r="O11" s="48"/>
      <c r="P11" s="48"/>
      <c r="Q11" s="48"/>
      <c r="R11" s="48"/>
      <c r="S11" s="48"/>
      <c r="T11" s="48"/>
      <c r="U11" s="48"/>
      <c r="V11" s="48"/>
      <c r="W11" s="46"/>
      <c r="X11" s="46"/>
      <c r="Y11" s="62" t="str">
        <f ca="1">AF11</f>
        <v>Summary - 2025(Total Year)</v>
      </c>
      <c r="Z11" s="62"/>
      <c r="AA11" s="62"/>
      <c r="AB11" s="62"/>
      <c r="AC11" s="62"/>
      <c r="AD11" s="62"/>
      <c r="AF11" s="62" t="str">
        <f ca="1">"Summary - " &amp; IF(selected_period="Total Year", selected_year &amp; "(Total Year)", selected_period_display &amp; " " &amp; selected_year)</f>
        <v>Summary - 2025(Total Year)</v>
      </c>
      <c r="AG11" s="62"/>
      <c r="AH11" s="62"/>
      <c r="AI11" s="62"/>
      <c r="AJ11" s="62"/>
      <c r="AK11" s="62"/>
      <c r="AL11" s="62"/>
      <c r="AM11" s="62"/>
      <c r="AN11" s="62"/>
      <c r="AO11" s="62"/>
      <c r="AP11" s="62"/>
      <c r="AQ11" s="62"/>
      <c r="AR11" s="62"/>
    </row>
    <row r="12" spans="3:44" x14ac:dyDescent="0.25">
      <c r="C12" s="40" t="s">
        <v>63</v>
      </c>
      <c r="D12" s="41" t="s">
        <v>64</v>
      </c>
      <c r="E12" s="40" t="s">
        <v>65</v>
      </c>
      <c r="F12" s="42" t="s">
        <v>66</v>
      </c>
      <c r="G12" s="42" t="s">
        <v>67</v>
      </c>
      <c r="H12" s="41" t="s">
        <v>68</v>
      </c>
      <c r="I12" s="40" t="s">
        <v>69</v>
      </c>
      <c r="J12" s="42" t="s">
        <v>70</v>
      </c>
      <c r="K12" s="42" t="s">
        <v>71</v>
      </c>
      <c r="L12" s="41" t="s">
        <v>72</v>
      </c>
      <c r="M12" s="40" t="s">
        <v>73</v>
      </c>
      <c r="N12" s="41" t="s">
        <v>74</v>
      </c>
      <c r="O12" s="40" t="s">
        <v>75</v>
      </c>
      <c r="P12" s="42" t="s">
        <v>76</v>
      </c>
      <c r="Q12" s="42" t="s">
        <v>77</v>
      </c>
      <c r="R12" s="41" t="s">
        <v>78</v>
      </c>
      <c r="S12" s="40" t="s">
        <v>79</v>
      </c>
      <c r="T12" s="42" t="s">
        <v>80</v>
      </c>
      <c r="U12" s="42" t="s">
        <v>81</v>
      </c>
      <c r="V12" s="42" t="s">
        <v>82</v>
      </c>
      <c r="W12" s="54" t="s">
        <v>83</v>
      </c>
      <c r="X12" s="55" t="s">
        <v>84</v>
      </c>
    </row>
    <row r="13" spans="3:44" x14ac:dyDescent="0.25">
      <c r="C13" s="4">
        <v>9</v>
      </c>
      <c r="D13" s="5">
        <f t="shared" ref="D13:D44" si="0">IF(is_header, row_id, IF(NOT(is_empty), D12, -1))</f>
        <v>9</v>
      </c>
      <c r="E13" s="4" cm="1">
        <f t="array" ref="E13">1*OR(row_id=income_header_row, row_id=expenses_header_row, row_id=savings_header_row)</f>
        <v>1</v>
      </c>
      <c r="F13">
        <f t="shared" ref="F13:F44" si="1">1*NOT(OR(is_header, is_total, is_empty))</f>
        <v>0</v>
      </c>
      <c r="G13" cm="1">
        <f t="array" ref="G13">1*OR(row_id=income_total_row, row_id=expenses_total_row, row_id=savings_total_row)</f>
        <v>0</v>
      </c>
      <c r="H13" s="5">
        <f t="shared" ref="H13:H44" si="2">1*OR(row_id="/1", row_id="/2", row_id=-1)</f>
        <v>0</v>
      </c>
      <c r="I13" s="4" t="str" cm="1">
        <f t="array" ref="I13">IFERROR(INDEX('Budget Planning'!$C:$C, header_row_id), "")</f>
        <v>Income</v>
      </c>
      <c r="J13" t="str" cm="1">
        <f t="array" ref="J13">IFERROR(INDEX('Budget Planning'!$C:$C, row_id), "")</f>
        <v>Income</v>
      </c>
      <c r="K13" s="52" t="str" cm="1">
        <f t="array" ref="K1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 s="53" t="str" cm="1">
        <f t="array" ref="L13">IF(OR(is_header, is_empty), "", INDEX('Budget Planning'!$E:$EM, row_id, MATCH(IF(selected_period="Total Year", selected_year, DATE(selected_year, selected_period, 1)), 'Budget Planning'!$E$9:$EM$9, 0)))</f>
        <v/>
      </c>
      <c r="M13" s="50" t="str" cm="1">
        <f t="array" ref="M13">IF(is_category, IF(header_row_id=income_header_row, MATCH(income_min_row, $C:$C, 0), IF(header_row_id=expenses_header_row, MATCH(expenses_min_row, $C:$C, 0), IF(header_row_id=savings_header_row, MATCH(savings_min_row, $C:$C, 0), ""))), "")</f>
        <v/>
      </c>
      <c r="N13" s="51" t="str" cm="1">
        <f t="array" ref="N13">IF(is_category, IF(header_row_id=income_header_row, MATCH(income_max_row, $C:$C, 0), IF(header_row_id=expenses_header_row, MATCH(expenses_max_row, $C:$C, 0), IF(header_row_id=savings_header_row, MATCH(savings_max_row, $C:$C, 0), ""))), "")</f>
        <v/>
      </c>
      <c r="O13" s="50" t="str">
        <f t="shared" ref="O13:O44" si="3">IF(is_category, ADDRESS(sort_min_row, COLUMN(tracked)) &amp; ":" &amp; ADDRESS(sort_max_row, COLUMN(tracked)), "")</f>
        <v/>
      </c>
      <c r="P13" s="49" t="str">
        <f t="shared" ref="P13:P44" ca="1" si="4">IF(is_category, RANK(tracked, INDIRECT(tracked_range), 0), "")</f>
        <v/>
      </c>
      <c r="Q13" s="49" t="str">
        <f t="shared" ref="Q13:Q44" si="5">IF(is_category, ADDRESS(sort_min_row, COLUMN(budget)) &amp; ":" &amp; ADDRESS(sort_max_row, COLUMN(budget)), "")</f>
        <v/>
      </c>
      <c r="R13" s="51" t="str">
        <f t="shared" ref="R13:R44" ca="1" si="6">IF(is_category, RANK(budget, INDIRECT(budget_range), 0), "")</f>
        <v/>
      </c>
      <c r="S13" s="50" t="str">
        <f t="shared" ref="S13:S44" si="7">IF(is_category, _xlfn.NUMBERVALUE(tracker_rank &amp; budget_rank), "")</f>
        <v/>
      </c>
      <c r="T13" s="49" t="str">
        <f t="shared" ref="T13:T44" si="8">IF(is_category, ADDRESS(sort_min_row, COLUMN(combined_rank)) &amp; ":" &amp; ADDRESS(sort_max_row, COLUMN(combined_rank)), "")</f>
        <v/>
      </c>
      <c r="U13" s="49" t="str">
        <f t="shared" ref="U13:U44" ca="1" si="9">IF(is_category, RANK(combined_rank, INDIRECT(combined_rank_range), 1), "")</f>
        <v/>
      </c>
      <c r="V13" s="49" t="str">
        <f t="shared" ref="V13:V44" si="10">IF(is_category, ADDRESS(sort_min_row, COLUMN(combined_rank_norm)) &amp; ":" &amp; ADDRESS(ROW(), COLUMN(combined_rank_norm)), "")</f>
        <v/>
      </c>
      <c r="W13" s="47" t="str">
        <f t="shared" ref="W13:W44" ca="1" si="11">IF(is_category, combined_rank_norm + COUNTIF(INDIRECT(combined_rank_norm_run_range), combined_rank_norm)-1, "")</f>
        <v/>
      </c>
      <c r="X13" s="56">
        <f t="shared" ref="X13:X44" si="12">IF(is_category, header_row_id + combined_rank_unique, row_id)</f>
        <v>9</v>
      </c>
      <c r="Y13" s="57" t="str">
        <f t="shared" ref="Y13:Y44" si="13">IF(is_empty, "", INDEX($J:$J, MATCH(row_id, $X:$X, 0)))</f>
        <v>Income</v>
      </c>
      <c r="Z13" s="59" t="str">
        <f t="shared" ref="Z13:Z44" si="14">IF(is_empty, "", IF(is_header, "Tracked", INDEX($K:$K, MATCH(row_id, $X:$X, 0))))</f>
        <v>Tracked</v>
      </c>
      <c r="AA13" s="59" t="str">
        <f t="shared" ref="AA13:AA44" si="15">IF(is_empty, "", IF(is_header, "Budget", INDEX($L:$L, MATCH(row_id, $X:$X, 0))))</f>
        <v>Budget</v>
      </c>
      <c r="AB13" s="58" t="str">
        <f t="shared" ref="AB13:AB44" si="16">IF(is_empty, "", IF(is_header, "% Compl.", IFERROR(out_tracked / out_budget, "-")))</f>
        <v>% Compl.</v>
      </c>
      <c r="AC13" s="59" t="str">
        <f t="shared" ref="AC13:AC44" si="17">IF(is_empty, "", IF(is_header, "Remaining", IF(out_budget - out_tracked &gt; 0, out_budget - out_tracked, 0)))</f>
        <v>Remaining</v>
      </c>
      <c r="AD13" s="59" t="str">
        <f t="shared" ref="AD13:AD44" si="18">IF(is_empty, "", IF(is_header, "Excess", IF(out_budget - out_tracked &lt; 0, out_tracked - out_budget, 0)))</f>
        <v>Excess</v>
      </c>
      <c r="AF13" s="69"/>
      <c r="AG13" s="70"/>
      <c r="AH13" s="70"/>
      <c r="AI13" s="70"/>
      <c r="AJ13" s="70"/>
      <c r="AK13" s="71"/>
      <c r="AM13" s="69"/>
      <c r="AN13" s="70"/>
      <c r="AO13" s="70"/>
      <c r="AP13" s="70"/>
      <c r="AQ13" s="70"/>
      <c r="AR13" s="71"/>
    </row>
    <row r="14" spans="3:44" x14ac:dyDescent="0.25">
      <c r="C14" s="4" cm="1">
        <f t="array" ref="C14">IF(C13=-1,-1, IF(C13&lt;income_max_row, C13+1, IF(C13=income_max_row, income_total_row, IF(C13=income_total_row, "/1", IF(C13="/1", expenses_header_row, IF(C13&lt;expenses_max_row, C13+1, IF(C13=expenses_max_row, expenses_total_row, IF(C13=expenses_total_row, "/2", IF(C13="/2", savings_header_row, IF(C13&lt;savings_max_row, C13+1, IF(C13=savings_max_row, savings_total_row, -1)))))))))))</f>
        <v>10</v>
      </c>
      <c r="D14" s="5">
        <f t="shared" si="0"/>
        <v>9</v>
      </c>
      <c r="E14" s="4" cm="1">
        <f t="array" ref="E14">1*OR(row_id=income_header_row, row_id=expenses_header_row, row_id=savings_header_row)</f>
        <v>0</v>
      </c>
      <c r="F14">
        <f t="shared" si="1"/>
        <v>1</v>
      </c>
      <c r="G14" cm="1">
        <f t="array" ref="G14">1*OR(row_id=income_total_row, row_id=expenses_total_row, row_id=savings_total_row)</f>
        <v>0</v>
      </c>
      <c r="H14" s="5">
        <f t="shared" si="2"/>
        <v>0</v>
      </c>
      <c r="I14" s="4" t="str" cm="1">
        <f t="array" ref="I14">IFERROR(INDEX('Budget Planning'!$C:$C, header_row_id), "")</f>
        <v>Income</v>
      </c>
      <c r="J14" t="str" cm="1">
        <f t="array" ref="J14">IFERROR(INDEX('Budget Planning'!$C:$C, row_id), "")</f>
        <v>Employment (Net)</v>
      </c>
      <c r="K14" s="52" cm="1">
        <f t="array" aca="1" ref="K14"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10500</v>
      </c>
      <c r="L14" s="53" cm="1">
        <f t="array" aca="1" ref="L14" ca="1">IF(OR(is_header, is_empty), "", INDEX('Budget Planning'!$E:$EM, row_id, MATCH(IF(selected_period="Total Year", selected_year, DATE(selected_year, selected_period, 1)), 'Budget Planning'!$E$9:$EM$9, 0)))</f>
        <v>51000</v>
      </c>
      <c r="M14" s="50" cm="1">
        <f t="array" ref="M14">IF(is_category, IF(header_row_id=income_header_row, MATCH(income_min_row, $C:$C, 0), IF(header_row_id=expenses_header_row, MATCH(expenses_min_row, $C:$C, 0), IF(header_row_id=savings_header_row, MATCH(savings_min_row, $C:$C, 0), ""))), "")</f>
        <v>14</v>
      </c>
      <c r="N14" s="51" cm="1">
        <f t="array" ref="N14">IF(is_category, IF(header_row_id=income_header_row, MATCH(income_max_row, $C:$C, 0), IF(header_row_id=expenses_header_row, MATCH(expenses_max_row, $C:$C, 0), IF(header_row_id=savings_header_row, MATCH(savings_max_row, $C:$C, 0), ""))), "")</f>
        <v>16</v>
      </c>
      <c r="O14" s="50" t="str">
        <f t="shared" si="3"/>
        <v>$K$14:$K$16</v>
      </c>
      <c r="P14" s="49">
        <f t="shared" ca="1" si="4"/>
        <v>1</v>
      </c>
      <c r="Q14" s="49" t="str">
        <f t="shared" si="5"/>
        <v>$L$14:$L$16</v>
      </c>
      <c r="R14" s="51">
        <f t="shared" ca="1" si="6"/>
        <v>1</v>
      </c>
      <c r="S14" s="50">
        <f t="shared" ca="1" si="7"/>
        <v>11</v>
      </c>
      <c r="T14" s="49" t="str">
        <f t="shared" si="8"/>
        <v>$S$14:$S$16</v>
      </c>
      <c r="U14" s="49">
        <f t="shared" ca="1" si="9"/>
        <v>1</v>
      </c>
      <c r="V14" s="49" t="str">
        <f t="shared" si="10"/>
        <v>$U$14:$U$14</v>
      </c>
      <c r="W14" s="47">
        <f t="shared" ca="1" si="11"/>
        <v>1</v>
      </c>
      <c r="X14" s="56">
        <f t="shared" ca="1" si="12"/>
        <v>10</v>
      </c>
      <c r="Y14" s="57" t="str">
        <f t="shared" ca="1" si="13"/>
        <v>Employment (Net)</v>
      </c>
      <c r="Z14" s="59">
        <f t="shared" ca="1" si="14"/>
        <v>10500</v>
      </c>
      <c r="AA14" s="59">
        <f t="shared" ca="1" si="15"/>
        <v>51000</v>
      </c>
      <c r="AB14" s="58">
        <f t="shared" ca="1" si="16"/>
        <v>0.20588235294117646</v>
      </c>
      <c r="AC14" s="59">
        <f t="shared" ca="1" si="17"/>
        <v>40500</v>
      </c>
      <c r="AD14" s="59">
        <f t="shared" ca="1" si="18"/>
        <v>0</v>
      </c>
      <c r="AF14" s="4"/>
      <c r="AG14" s="72"/>
      <c r="AH14" s="72"/>
      <c r="AI14" s="72"/>
      <c r="AJ14" s="72"/>
      <c r="AK14" s="5"/>
      <c r="AM14" s="4"/>
      <c r="AN14" s="72"/>
      <c r="AO14" s="72"/>
      <c r="AP14" s="72"/>
      <c r="AQ14" s="72"/>
      <c r="AR14" s="5"/>
    </row>
    <row r="15" spans="3:44" x14ac:dyDescent="0.25">
      <c r="C15" s="4" cm="1">
        <f t="array" ref="C15">IF(C14=-1,-1, IF(C14&lt;income_max_row, C14+1, IF(C14=income_max_row, income_total_row, IF(C14=income_total_row, "/1", IF(C14="/1", expenses_header_row, IF(C14&lt;expenses_max_row, C14+1, IF(C14=expenses_max_row, expenses_total_row, IF(C14=expenses_total_row, "/2", IF(C14="/2", savings_header_row, IF(C14&lt;savings_max_row, C14+1, IF(C14=savings_max_row, savings_total_row, -1)))))))))))</f>
        <v>11</v>
      </c>
      <c r="D15" s="5">
        <f t="shared" si="0"/>
        <v>9</v>
      </c>
      <c r="E15" s="4" cm="1">
        <f t="array" ref="E15">1*OR(row_id=income_header_row, row_id=expenses_header_row, row_id=savings_header_row)</f>
        <v>0</v>
      </c>
      <c r="F15">
        <f t="shared" si="1"/>
        <v>1</v>
      </c>
      <c r="G15" cm="1">
        <f t="array" ref="G15">1*OR(row_id=income_total_row, row_id=expenses_total_row, row_id=savings_total_row)</f>
        <v>0</v>
      </c>
      <c r="H15" s="5">
        <f t="shared" si="2"/>
        <v>0</v>
      </c>
      <c r="I15" s="4" t="str" cm="1">
        <f t="array" ref="I15">IFERROR(INDEX('Budget Planning'!$C:$C, header_row_id), "")</f>
        <v>Income</v>
      </c>
      <c r="J15" t="str" cm="1">
        <f t="array" ref="J15">IFERROR(INDEX('Budget Planning'!$C:$C, row_id), "")</f>
        <v>Side Hustle (Net)</v>
      </c>
      <c r="K15" s="52" cm="1">
        <f t="array" aca="1" ref="K15"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2800</v>
      </c>
      <c r="L15" s="53" cm="1">
        <f t="array" aca="1" ref="L15" ca="1">IF(OR(is_header, is_empty), "", INDEX('Budget Planning'!$E:$EM, row_id, MATCH(IF(selected_period="Total Year", selected_year, DATE(selected_year, selected_period, 1)), 'Budget Planning'!$E$9:$EM$9, 0)))</f>
        <v>12000</v>
      </c>
      <c r="M15" s="50" cm="1">
        <f t="array" ref="M15">IF(is_category, IF(header_row_id=income_header_row, MATCH(income_min_row, $C:$C, 0), IF(header_row_id=expenses_header_row, MATCH(expenses_min_row, $C:$C, 0), IF(header_row_id=savings_header_row, MATCH(savings_min_row, $C:$C, 0), ""))), "")</f>
        <v>14</v>
      </c>
      <c r="N15" s="51" cm="1">
        <f t="array" ref="N15">IF(is_category, IF(header_row_id=income_header_row, MATCH(income_max_row, $C:$C, 0), IF(header_row_id=expenses_header_row, MATCH(expenses_max_row, $C:$C, 0), IF(header_row_id=savings_header_row, MATCH(savings_max_row, $C:$C, 0), ""))), "")</f>
        <v>16</v>
      </c>
      <c r="O15" s="50" t="str">
        <f t="shared" si="3"/>
        <v>$K$14:$K$16</v>
      </c>
      <c r="P15" s="49">
        <f t="shared" ca="1" si="4"/>
        <v>2</v>
      </c>
      <c r="Q15" s="49" t="str">
        <f t="shared" si="5"/>
        <v>$L$14:$L$16</v>
      </c>
      <c r="R15" s="51">
        <f t="shared" ca="1" si="6"/>
        <v>2</v>
      </c>
      <c r="S15" s="50">
        <f t="shared" ca="1" si="7"/>
        <v>22</v>
      </c>
      <c r="T15" s="49" t="str">
        <f t="shared" si="8"/>
        <v>$S$14:$S$16</v>
      </c>
      <c r="U15" s="49">
        <f t="shared" ca="1" si="9"/>
        <v>2</v>
      </c>
      <c r="V15" s="49" t="str">
        <f t="shared" si="10"/>
        <v>$U$14:$U$15</v>
      </c>
      <c r="W15" s="47">
        <f t="shared" ca="1" si="11"/>
        <v>2</v>
      </c>
      <c r="X15" s="56">
        <f t="shared" ca="1" si="12"/>
        <v>11</v>
      </c>
      <c r="Y15" s="57" t="str">
        <f t="shared" ca="1" si="13"/>
        <v>Side Hustle (Net)</v>
      </c>
      <c r="Z15" s="59">
        <f t="shared" ca="1" si="14"/>
        <v>2800</v>
      </c>
      <c r="AA15" s="59">
        <f t="shared" ca="1" si="15"/>
        <v>12000</v>
      </c>
      <c r="AB15" s="58">
        <f t="shared" ca="1" si="16"/>
        <v>0.23333333333333334</v>
      </c>
      <c r="AC15" s="59">
        <f t="shared" ca="1" si="17"/>
        <v>9200</v>
      </c>
      <c r="AD15" s="59">
        <f t="shared" ca="1" si="18"/>
        <v>0</v>
      </c>
      <c r="AF15" s="4"/>
      <c r="AG15" s="72"/>
      <c r="AH15" s="72"/>
      <c r="AI15" s="72"/>
      <c r="AJ15" s="72"/>
      <c r="AK15" s="5"/>
      <c r="AM15" s="4"/>
      <c r="AN15" s="72"/>
      <c r="AO15" s="72"/>
      <c r="AP15" s="72"/>
      <c r="AQ15" s="72"/>
      <c r="AR15" s="5"/>
    </row>
    <row r="16" spans="3:44" x14ac:dyDescent="0.25">
      <c r="C16" s="4" cm="1">
        <f t="array" ref="C16">IF(C15=-1,-1, IF(C15&lt;income_max_row, C15+1, IF(C15=income_max_row, income_total_row, IF(C15=income_total_row, "/1", IF(C15="/1", expenses_header_row, IF(C15&lt;expenses_max_row, C15+1, IF(C15=expenses_max_row, expenses_total_row, IF(C15=expenses_total_row, "/2", IF(C15="/2", savings_header_row, IF(C15&lt;savings_max_row, C15+1, IF(C15=savings_max_row, savings_total_row, -1)))))))))))</f>
        <v>12</v>
      </c>
      <c r="D16" s="5">
        <f t="shared" si="0"/>
        <v>9</v>
      </c>
      <c r="E16" s="4" cm="1">
        <f t="array" ref="E16">1*OR(row_id=income_header_row, row_id=expenses_header_row, row_id=savings_header_row)</f>
        <v>0</v>
      </c>
      <c r="F16">
        <f t="shared" si="1"/>
        <v>1</v>
      </c>
      <c r="G16" cm="1">
        <f t="array" ref="G16">1*OR(row_id=income_total_row, row_id=expenses_total_row, row_id=savings_total_row)</f>
        <v>0</v>
      </c>
      <c r="H16" s="5">
        <f t="shared" si="2"/>
        <v>0</v>
      </c>
      <c r="I16" s="4" t="str" cm="1">
        <f t="array" ref="I16">IFERROR(INDEX('Budget Planning'!$C:$C, header_row_id), "")</f>
        <v>Income</v>
      </c>
      <c r="J16" t="str" cm="1">
        <f t="array" ref="J16">IFERROR(INDEX('Budget Planning'!$C:$C, row_id), "")</f>
        <v>Dividends</v>
      </c>
      <c r="K16" s="52" cm="1">
        <f t="array" aca="1" ref="K16"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300</v>
      </c>
      <c r="L16" s="53" cm="1">
        <f t="array" aca="1" ref="L16" ca="1">IF(OR(is_header, is_empty), "", INDEX('Budget Planning'!$E:$EM, row_id, MATCH(IF(selected_period="Total Year", selected_year, DATE(selected_year, selected_period, 1)), 'Budget Planning'!$E$9:$EM$9, 0)))</f>
        <v>1200</v>
      </c>
      <c r="M16" s="50" cm="1">
        <f t="array" ref="M16">IF(is_category, IF(header_row_id=income_header_row, MATCH(income_min_row, $C:$C, 0), IF(header_row_id=expenses_header_row, MATCH(expenses_min_row, $C:$C, 0), IF(header_row_id=savings_header_row, MATCH(savings_min_row, $C:$C, 0), ""))), "")</f>
        <v>14</v>
      </c>
      <c r="N16" s="51" cm="1">
        <f t="array" ref="N16">IF(is_category, IF(header_row_id=income_header_row, MATCH(income_max_row, $C:$C, 0), IF(header_row_id=expenses_header_row, MATCH(expenses_max_row, $C:$C, 0), IF(header_row_id=savings_header_row, MATCH(savings_max_row, $C:$C, 0), ""))), "")</f>
        <v>16</v>
      </c>
      <c r="O16" s="50" t="str">
        <f t="shared" si="3"/>
        <v>$K$14:$K$16</v>
      </c>
      <c r="P16" s="49">
        <f t="shared" ca="1" si="4"/>
        <v>3</v>
      </c>
      <c r="Q16" s="49" t="str">
        <f t="shared" si="5"/>
        <v>$L$14:$L$16</v>
      </c>
      <c r="R16" s="51">
        <f t="shared" ca="1" si="6"/>
        <v>3</v>
      </c>
      <c r="S16" s="50">
        <f t="shared" ca="1" si="7"/>
        <v>33</v>
      </c>
      <c r="T16" s="49" t="str">
        <f t="shared" si="8"/>
        <v>$S$14:$S$16</v>
      </c>
      <c r="U16" s="49">
        <f t="shared" ca="1" si="9"/>
        <v>3</v>
      </c>
      <c r="V16" s="49" t="str">
        <f t="shared" si="10"/>
        <v>$U$14:$U$16</v>
      </c>
      <c r="W16" s="47">
        <f t="shared" ca="1" si="11"/>
        <v>3</v>
      </c>
      <c r="X16" s="56">
        <f t="shared" ca="1" si="12"/>
        <v>12</v>
      </c>
      <c r="Y16" s="57" t="str">
        <f t="shared" ca="1" si="13"/>
        <v>Dividends</v>
      </c>
      <c r="Z16" s="59">
        <f t="shared" ca="1" si="14"/>
        <v>300</v>
      </c>
      <c r="AA16" s="59">
        <f t="shared" ca="1" si="15"/>
        <v>1200</v>
      </c>
      <c r="AB16" s="58">
        <f t="shared" ca="1" si="16"/>
        <v>0.25</v>
      </c>
      <c r="AC16" s="59">
        <f t="shared" ca="1" si="17"/>
        <v>900</v>
      </c>
      <c r="AD16" s="59">
        <f t="shared" ca="1" si="18"/>
        <v>0</v>
      </c>
      <c r="AF16" s="4"/>
      <c r="AG16" s="72"/>
      <c r="AH16" s="72"/>
      <c r="AI16" s="82" t="str">
        <f ca="1">Calculations!E35</f>
        <v>Employment (Net)</v>
      </c>
      <c r="AJ16" s="83">
        <f ca="1">Calculations!F35</f>
        <v>10500</v>
      </c>
      <c r="AK16" s="5"/>
      <c r="AM16" s="4"/>
      <c r="AN16" s="72"/>
      <c r="AO16" s="72"/>
      <c r="AP16" s="72"/>
      <c r="AQ16" s="72"/>
      <c r="AR16" s="5"/>
    </row>
    <row r="17" spans="3:44" x14ac:dyDescent="0.25">
      <c r="C17" s="4" cm="1">
        <f t="array" ref="C17">IF(C16=-1,-1, IF(C16&lt;income_max_row, C16+1, IF(C16=income_max_row, income_total_row, IF(C16=income_total_row, "/1", IF(C16="/1", expenses_header_row, IF(C16&lt;expenses_max_row, C16+1, IF(C16=expenses_max_row, expenses_total_row, IF(C16=expenses_total_row, "/2", IF(C16="/2", savings_header_row, IF(C16&lt;savings_max_row, C16+1, IF(C16=savings_max_row, savings_total_row, -1)))))))))))</f>
        <v>20</v>
      </c>
      <c r="D17" s="5">
        <f t="shared" si="0"/>
        <v>9</v>
      </c>
      <c r="E17" s="4" cm="1">
        <f t="array" ref="E17">1*OR(row_id=income_header_row, row_id=expenses_header_row, row_id=savings_header_row)</f>
        <v>0</v>
      </c>
      <c r="F17">
        <f t="shared" si="1"/>
        <v>0</v>
      </c>
      <c r="G17" cm="1">
        <f t="array" ref="G17">1*OR(row_id=income_total_row, row_id=expenses_total_row, row_id=savings_total_row)</f>
        <v>1</v>
      </c>
      <c r="H17" s="5">
        <f t="shared" si="2"/>
        <v>0</v>
      </c>
      <c r="I17" s="4" t="str" cm="1">
        <f t="array" ref="I17">IFERROR(INDEX('Budget Planning'!$C:$C, header_row_id), "")</f>
        <v>Income</v>
      </c>
      <c r="J17" t="str" cm="1">
        <f t="array" ref="J17">IFERROR(INDEX('Budget Planning'!$C:$C, row_id), "")</f>
        <v>Total</v>
      </c>
      <c r="K17" s="52" cm="1">
        <f t="array" aca="1" ref="K17"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13600</v>
      </c>
      <c r="L17" s="53" cm="1">
        <f t="array" aca="1" ref="L17" ca="1">IF(OR(is_header, is_empty), "", INDEX('Budget Planning'!$E:$EM, row_id, MATCH(IF(selected_period="Total Year", selected_year, DATE(selected_year, selected_period, 1)), 'Budget Planning'!$E$9:$EM$9, 0)))</f>
        <v>64200</v>
      </c>
      <c r="M17" s="50" t="str" cm="1">
        <f t="array" ref="M17">IF(is_category, IF(header_row_id=income_header_row, MATCH(income_min_row, $C:$C, 0), IF(header_row_id=expenses_header_row, MATCH(expenses_min_row, $C:$C, 0), IF(header_row_id=savings_header_row, MATCH(savings_min_row, $C:$C, 0), ""))), "")</f>
        <v/>
      </c>
      <c r="N17" s="51" t="str" cm="1">
        <f t="array" ref="N17">IF(is_category, IF(header_row_id=income_header_row, MATCH(income_max_row, $C:$C, 0), IF(header_row_id=expenses_header_row, MATCH(expenses_max_row, $C:$C, 0), IF(header_row_id=savings_header_row, MATCH(savings_max_row, $C:$C, 0), ""))), "")</f>
        <v/>
      </c>
      <c r="O17" s="50" t="str">
        <f t="shared" si="3"/>
        <v/>
      </c>
      <c r="P17" s="49" t="str">
        <f t="shared" ca="1" si="4"/>
        <v/>
      </c>
      <c r="Q17" s="49" t="str">
        <f t="shared" si="5"/>
        <v/>
      </c>
      <c r="R17" s="51" t="str">
        <f t="shared" ca="1" si="6"/>
        <v/>
      </c>
      <c r="S17" s="50" t="str">
        <f t="shared" si="7"/>
        <v/>
      </c>
      <c r="T17" s="49" t="str">
        <f t="shared" si="8"/>
        <v/>
      </c>
      <c r="U17" s="49" t="str">
        <f t="shared" ca="1" si="9"/>
        <v/>
      </c>
      <c r="V17" s="49" t="str">
        <f t="shared" si="10"/>
        <v/>
      </c>
      <c r="W17" s="47" t="str">
        <f t="shared" ca="1" si="11"/>
        <v/>
      </c>
      <c r="X17" s="56">
        <f t="shared" si="12"/>
        <v>20</v>
      </c>
      <c r="Y17" s="57" t="str">
        <f t="shared" ca="1" si="13"/>
        <v>Total</v>
      </c>
      <c r="Z17" s="59">
        <f t="shared" ca="1" si="14"/>
        <v>13600</v>
      </c>
      <c r="AA17" s="59">
        <f t="shared" ca="1" si="15"/>
        <v>64200</v>
      </c>
      <c r="AB17" s="58">
        <f t="shared" ca="1" si="16"/>
        <v>0.21183800623052959</v>
      </c>
      <c r="AC17" s="59">
        <f t="shared" ca="1" si="17"/>
        <v>50600</v>
      </c>
      <c r="AD17" s="59">
        <f t="shared" ca="1" si="18"/>
        <v>0</v>
      </c>
      <c r="AF17" s="4"/>
      <c r="AG17" s="72"/>
      <c r="AH17" s="72"/>
      <c r="AI17" s="82" t="str">
        <f ca="1">Calculations!E36</f>
        <v>Side Hustle (Net)</v>
      </c>
      <c r="AJ17" s="83">
        <f ca="1">Calculations!F36</f>
        <v>2800</v>
      </c>
      <c r="AK17" s="5"/>
      <c r="AM17" s="4"/>
      <c r="AN17" s="72"/>
      <c r="AO17" s="72"/>
      <c r="AP17" s="72"/>
      <c r="AQ17" s="72"/>
      <c r="AR17" s="5"/>
    </row>
    <row r="18" spans="3:44" x14ac:dyDescent="0.25">
      <c r="C18" s="4" t="str" cm="1">
        <f t="array" ref="C18">IF(C17=-1,-1, IF(C17&lt;income_max_row, C17+1, IF(C17=income_max_row, income_total_row, IF(C17=income_total_row, "/1", IF(C17="/1", expenses_header_row, IF(C17&lt;expenses_max_row, C17+1, IF(C17=expenses_max_row, expenses_total_row, IF(C17=expenses_total_row, "/2", IF(C17="/2", savings_header_row, IF(C17&lt;savings_max_row, C17+1, IF(C17=savings_max_row, savings_total_row, -1)))))))))))</f>
        <v>/1</v>
      </c>
      <c r="D18" s="5">
        <f t="shared" si="0"/>
        <v>-1</v>
      </c>
      <c r="E18" s="4" cm="1">
        <f t="array" ref="E18">1*OR(row_id=income_header_row, row_id=expenses_header_row, row_id=savings_header_row)</f>
        <v>0</v>
      </c>
      <c r="F18">
        <f t="shared" si="1"/>
        <v>0</v>
      </c>
      <c r="G18" cm="1">
        <f t="array" ref="G18">1*OR(row_id=income_total_row, row_id=expenses_total_row, row_id=savings_total_row)</f>
        <v>0</v>
      </c>
      <c r="H18" s="5">
        <f t="shared" si="2"/>
        <v>1</v>
      </c>
      <c r="I18" s="4" t="str" cm="1">
        <f t="array" ref="I18">IFERROR(INDEX('Budget Planning'!$C:$C, header_row_id), "")</f>
        <v/>
      </c>
      <c r="J18" t="str" cm="1">
        <f t="array" ref="J18">IFERROR(INDEX('Budget Planning'!$C:$C, row_id), "")</f>
        <v/>
      </c>
      <c r="K18" s="52" t="str" cm="1">
        <f t="array" ref="K1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 s="53" t="str" cm="1">
        <f t="array" ref="L18">IF(OR(is_header, is_empty), "", INDEX('Budget Planning'!$E:$EM, row_id, MATCH(IF(selected_period="Total Year", selected_year, DATE(selected_year, selected_period, 1)), 'Budget Planning'!$E$9:$EM$9, 0)))</f>
        <v/>
      </c>
      <c r="M18" s="50" t="str" cm="1">
        <f t="array" ref="M18">IF(is_category, IF(header_row_id=income_header_row, MATCH(income_min_row, $C:$C, 0), IF(header_row_id=expenses_header_row, MATCH(expenses_min_row, $C:$C, 0), IF(header_row_id=savings_header_row, MATCH(savings_min_row, $C:$C, 0), ""))), "")</f>
        <v/>
      </c>
      <c r="N18" s="51" t="str" cm="1">
        <f t="array" ref="N18">IF(is_category, IF(header_row_id=income_header_row, MATCH(income_max_row, $C:$C, 0), IF(header_row_id=expenses_header_row, MATCH(expenses_max_row, $C:$C, 0), IF(header_row_id=savings_header_row, MATCH(savings_max_row, $C:$C, 0), ""))), "")</f>
        <v/>
      </c>
      <c r="O18" s="50" t="str">
        <f t="shared" si="3"/>
        <v/>
      </c>
      <c r="P18" s="49" t="str">
        <f t="shared" ca="1" si="4"/>
        <v/>
      </c>
      <c r="Q18" s="49" t="str">
        <f t="shared" si="5"/>
        <v/>
      </c>
      <c r="R18" s="51" t="str">
        <f t="shared" ca="1" si="6"/>
        <v/>
      </c>
      <c r="S18" s="50" t="str">
        <f t="shared" si="7"/>
        <v/>
      </c>
      <c r="T18" s="49" t="str">
        <f t="shared" si="8"/>
        <v/>
      </c>
      <c r="U18" s="49" t="str">
        <f t="shared" ca="1" si="9"/>
        <v/>
      </c>
      <c r="V18" s="49" t="str">
        <f t="shared" si="10"/>
        <v/>
      </c>
      <c r="W18" s="47" t="str">
        <f t="shared" ca="1" si="11"/>
        <v/>
      </c>
      <c r="X18" s="56" t="str">
        <f t="shared" si="12"/>
        <v>/1</v>
      </c>
      <c r="Y18" s="57" t="str">
        <f t="shared" si="13"/>
        <v/>
      </c>
      <c r="Z18" s="59" t="str">
        <f t="shared" si="14"/>
        <v/>
      </c>
      <c r="AA18" s="59" t="str">
        <f t="shared" si="15"/>
        <v/>
      </c>
      <c r="AB18" s="58" t="str">
        <f t="shared" si="16"/>
        <v/>
      </c>
      <c r="AC18" s="59" t="str">
        <f t="shared" si="17"/>
        <v/>
      </c>
      <c r="AD18" s="59" t="str">
        <f t="shared" si="18"/>
        <v/>
      </c>
      <c r="AF18" s="4"/>
      <c r="AG18" s="72"/>
      <c r="AH18" s="72"/>
      <c r="AI18" s="82" t="str">
        <f ca="1">Calculations!E37</f>
        <v>Dividends</v>
      </c>
      <c r="AJ18" s="83">
        <f ca="1">Calculations!F37</f>
        <v>300</v>
      </c>
      <c r="AK18" s="5"/>
      <c r="AM18" s="4"/>
      <c r="AN18" s="72"/>
      <c r="AO18" s="72"/>
      <c r="AP18" s="72"/>
      <c r="AQ18" s="72"/>
      <c r="AR18" s="5"/>
    </row>
    <row r="19" spans="3:44" x14ac:dyDescent="0.25">
      <c r="C19" s="4" cm="1">
        <f t="array" ref="C19">IF(C18=-1,-1, IF(C18&lt;income_max_row, C18+1, IF(C18=income_max_row, income_total_row, IF(C18=income_total_row, "/1", IF(C18="/1", expenses_header_row, IF(C18&lt;expenses_max_row, C18+1, IF(C18=expenses_max_row, expenses_total_row, IF(C18=expenses_total_row, "/2", IF(C18="/2", savings_header_row, IF(C18&lt;savings_max_row, C18+1, IF(C18=savings_max_row, savings_total_row, -1)))))))))))</f>
        <v>22</v>
      </c>
      <c r="D19" s="5">
        <f t="shared" si="0"/>
        <v>22</v>
      </c>
      <c r="E19" s="4" cm="1">
        <f t="array" ref="E19">1*OR(row_id=income_header_row, row_id=expenses_header_row, row_id=savings_header_row)</f>
        <v>1</v>
      </c>
      <c r="F19">
        <f t="shared" si="1"/>
        <v>0</v>
      </c>
      <c r="G19" cm="1">
        <f t="array" ref="G19">1*OR(row_id=income_total_row, row_id=expenses_total_row, row_id=savings_total_row)</f>
        <v>0</v>
      </c>
      <c r="H19" s="5">
        <f t="shared" si="2"/>
        <v>0</v>
      </c>
      <c r="I19" s="4" t="str" cm="1">
        <f t="array" ref="I19">IFERROR(INDEX('Budget Planning'!$C:$C, header_row_id), "")</f>
        <v>Expenses</v>
      </c>
      <c r="J19" t="str" cm="1">
        <f t="array" ref="J19">IFERROR(INDEX('Budget Planning'!$C:$C, row_id), "")</f>
        <v>Expenses</v>
      </c>
      <c r="K19" s="52" t="str" cm="1">
        <f t="array" ref="K1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 s="53" t="str" cm="1">
        <f t="array" ref="L19">IF(OR(is_header, is_empty), "", INDEX('Budget Planning'!$E:$EM, row_id, MATCH(IF(selected_period="Total Year", selected_year, DATE(selected_year, selected_period, 1)), 'Budget Planning'!$E$9:$EM$9, 0)))</f>
        <v/>
      </c>
      <c r="M19" s="50" t="str" cm="1">
        <f t="array" ref="M19">IF(is_category, IF(header_row_id=income_header_row, MATCH(income_min_row, $C:$C, 0), IF(header_row_id=expenses_header_row, MATCH(expenses_min_row, $C:$C, 0), IF(header_row_id=savings_header_row, MATCH(savings_min_row, $C:$C, 0), ""))), "")</f>
        <v/>
      </c>
      <c r="N19" s="51" t="str" cm="1">
        <f t="array" ref="N19">IF(is_category, IF(header_row_id=income_header_row, MATCH(income_max_row, $C:$C, 0), IF(header_row_id=expenses_header_row, MATCH(expenses_max_row, $C:$C, 0), IF(header_row_id=savings_header_row, MATCH(savings_max_row, $C:$C, 0), ""))), "")</f>
        <v/>
      </c>
      <c r="O19" s="50" t="str">
        <f t="shared" si="3"/>
        <v/>
      </c>
      <c r="P19" s="49" t="str">
        <f t="shared" ca="1" si="4"/>
        <v/>
      </c>
      <c r="Q19" s="49" t="str">
        <f t="shared" si="5"/>
        <v/>
      </c>
      <c r="R19" s="51" t="str">
        <f t="shared" ca="1" si="6"/>
        <v/>
      </c>
      <c r="S19" s="50" t="str">
        <f t="shared" si="7"/>
        <v/>
      </c>
      <c r="T19" s="49" t="str">
        <f t="shared" si="8"/>
        <v/>
      </c>
      <c r="U19" s="49" t="str">
        <f t="shared" ca="1" si="9"/>
        <v/>
      </c>
      <c r="V19" s="49" t="str">
        <f t="shared" si="10"/>
        <v/>
      </c>
      <c r="W19" s="47" t="str">
        <f t="shared" ca="1" si="11"/>
        <v/>
      </c>
      <c r="X19" s="56">
        <f t="shared" si="12"/>
        <v>22</v>
      </c>
      <c r="Y19" s="57" t="str">
        <f t="shared" ca="1" si="13"/>
        <v>Expenses</v>
      </c>
      <c r="Z19" s="59" t="str">
        <f t="shared" si="14"/>
        <v>Tracked</v>
      </c>
      <c r="AA19" s="59" t="str">
        <f t="shared" si="15"/>
        <v>Budget</v>
      </c>
      <c r="AB19" s="58" t="str">
        <f t="shared" si="16"/>
        <v>% Compl.</v>
      </c>
      <c r="AC19" s="59" t="str">
        <f t="shared" si="17"/>
        <v>Remaining</v>
      </c>
      <c r="AD19" s="59" t="str">
        <f t="shared" si="18"/>
        <v>Excess</v>
      </c>
      <c r="AF19" s="4"/>
      <c r="AG19" s="72"/>
      <c r="AH19" s="72"/>
      <c r="AI19" s="82" t="str">
        <f>Calculations!E38</f>
        <v/>
      </c>
      <c r="AJ19" s="83" t="str">
        <f>Calculations!F38</f>
        <v/>
      </c>
      <c r="AK19" s="5"/>
      <c r="AM19" s="4"/>
      <c r="AN19" s="72"/>
      <c r="AO19" s="72"/>
      <c r="AP19" s="72"/>
      <c r="AQ19" s="72"/>
      <c r="AR19" s="5"/>
    </row>
    <row r="20" spans="3:44" x14ac:dyDescent="0.25">
      <c r="C20" s="4" cm="1">
        <f t="array" ref="C20">IF(C19=-1,-1, IF(C19&lt;income_max_row, C19+1, IF(C19=income_max_row, income_total_row, IF(C19=income_total_row, "/1", IF(C19="/1", expenses_header_row, IF(C19&lt;expenses_max_row, C19+1, IF(C19=expenses_max_row, expenses_total_row, IF(C19=expenses_total_row, "/2", IF(C19="/2", savings_header_row, IF(C19&lt;savings_max_row, C19+1, IF(C19=savings_max_row, savings_total_row, -1)))))))))))</f>
        <v>23</v>
      </c>
      <c r="D20" s="5">
        <f t="shared" si="0"/>
        <v>22</v>
      </c>
      <c r="E20" s="4" cm="1">
        <f t="array" ref="E20">1*OR(row_id=income_header_row, row_id=expenses_header_row, row_id=savings_header_row)</f>
        <v>0</v>
      </c>
      <c r="F20">
        <f t="shared" si="1"/>
        <v>1</v>
      </c>
      <c r="G20" cm="1">
        <f t="array" ref="G20">1*OR(row_id=income_total_row, row_id=expenses_total_row, row_id=savings_total_row)</f>
        <v>0</v>
      </c>
      <c r="H20" s="5">
        <f t="shared" si="2"/>
        <v>0</v>
      </c>
      <c r="I20" s="4" t="str" cm="1">
        <f t="array" ref="I20">IFERROR(INDEX('Budget Planning'!$C:$C, header_row_id), "")</f>
        <v>Expenses</v>
      </c>
      <c r="J20" t="str" cm="1">
        <f t="array" ref="J20">IFERROR(INDEX('Budget Planning'!$C:$C, row_id), "")</f>
        <v>Housing</v>
      </c>
      <c r="K20" s="52" cm="1">
        <f t="array" aca="1" ref="K20"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3600</v>
      </c>
      <c r="L20" s="53" cm="1">
        <f t="array" aca="1" ref="L20" ca="1">IF(OR(is_header, is_empty), "", INDEX('Budget Planning'!$E:$EM, row_id, MATCH(IF(selected_period="Total Year", selected_year, DATE(selected_year, selected_period, 1)), 'Budget Planning'!$E$9:$EM$9, 0)))</f>
        <v>14400</v>
      </c>
      <c r="M20" s="50" cm="1">
        <f t="array" ref="M20">IF(is_category, IF(header_row_id=income_header_row, MATCH(income_min_row, $C:$C, 0), IF(header_row_id=expenses_header_row, MATCH(expenses_min_row, $C:$C, 0), IF(header_row_id=savings_header_row, MATCH(savings_min_row, $C:$C, 0), ""))), "")</f>
        <v>20</v>
      </c>
      <c r="N20" s="51" cm="1">
        <f t="array" ref="N20">IF(is_category, IF(header_row_id=income_header_row, MATCH(income_max_row, $C:$C, 0), IF(header_row_id=expenses_header_row, MATCH(expenses_max_row, $C:$C, 0), IF(header_row_id=savings_header_row, MATCH(savings_max_row, $C:$C, 0), ""))), "")</f>
        <v>28</v>
      </c>
      <c r="O20" s="50" t="str">
        <f t="shared" si="3"/>
        <v>$K$20:$K$28</v>
      </c>
      <c r="P20" s="49">
        <f t="shared" ca="1" si="4"/>
        <v>1</v>
      </c>
      <c r="Q20" s="49" t="str">
        <f t="shared" si="5"/>
        <v>$L$20:$L$28</v>
      </c>
      <c r="R20" s="51">
        <f t="shared" ca="1" si="6"/>
        <v>1</v>
      </c>
      <c r="S20" s="50">
        <f t="shared" ca="1" si="7"/>
        <v>11</v>
      </c>
      <c r="T20" s="49" t="str">
        <f t="shared" si="8"/>
        <v>$S$20:$S$28</v>
      </c>
      <c r="U20" s="49">
        <f t="shared" ca="1" si="9"/>
        <v>1</v>
      </c>
      <c r="V20" s="49" t="str">
        <f t="shared" si="10"/>
        <v>$U$20:$U$20</v>
      </c>
      <c r="W20" s="47">
        <f t="shared" ca="1" si="11"/>
        <v>1</v>
      </c>
      <c r="X20" s="56">
        <f t="shared" ca="1" si="12"/>
        <v>23</v>
      </c>
      <c r="Y20" s="57" t="str">
        <f t="shared" ca="1" si="13"/>
        <v>Housing</v>
      </c>
      <c r="Z20" s="59">
        <f t="shared" ca="1" si="14"/>
        <v>3600</v>
      </c>
      <c r="AA20" s="59">
        <f t="shared" ca="1" si="15"/>
        <v>14400</v>
      </c>
      <c r="AB20" s="58">
        <f t="shared" ca="1" si="16"/>
        <v>0.25</v>
      </c>
      <c r="AC20" s="59">
        <f t="shared" ca="1" si="17"/>
        <v>10800</v>
      </c>
      <c r="AD20" s="59">
        <f t="shared" ca="1" si="18"/>
        <v>0</v>
      </c>
      <c r="AF20" s="4"/>
      <c r="AG20" s="72"/>
      <c r="AH20" s="72"/>
      <c r="AI20" s="82" t="str">
        <f>Calculations!E39</f>
        <v/>
      </c>
      <c r="AJ20" s="83" t="str">
        <f>Calculations!F39</f>
        <v/>
      </c>
      <c r="AK20" s="5"/>
      <c r="AM20" s="4"/>
      <c r="AN20" s="72"/>
      <c r="AO20" s="72"/>
      <c r="AP20" s="72"/>
      <c r="AQ20" s="72"/>
      <c r="AR20" s="5"/>
    </row>
    <row r="21" spans="3:44" x14ac:dyDescent="0.25">
      <c r="C21" s="4" cm="1">
        <f t="array" ref="C21">IF(C20=-1,-1, IF(C20&lt;income_max_row, C20+1, IF(C20=income_max_row, income_total_row, IF(C20=income_total_row, "/1", IF(C20="/1", expenses_header_row, IF(C20&lt;expenses_max_row, C20+1, IF(C20=expenses_max_row, expenses_total_row, IF(C20=expenses_total_row, "/2", IF(C20="/2", savings_header_row, IF(C20&lt;savings_max_row, C20+1, IF(C20=savings_max_row, savings_total_row, -1)))))))))))</f>
        <v>24</v>
      </c>
      <c r="D21" s="5">
        <f t="shared" si="0"/>
        <v>22</v>
      </c>
      <c r="E21" s="4" cm="1">
        <f t="array" ref="E21">1*OR(row_id=income_header_row, row_id=expenses_header_row, row_id=savings_header_row)</f>
        <v>0</v>
      </c>
      <c r="F21">
        <f t="shared" si="1"/>
        <v>1</v>
      </c>
      <c r="G21" cm="1">
        <f t="array" ref="G21">1*OR(row_id=income_total_row, row_id=expenses_total_row, row_id=savings_total_row)</f>
        <v>0</v>
      </c>
      <c r="H21" s="5">
        <f t="shared" si="2"/>
        <v>0</v>
      </c>
      <c r="I21" s="4" t="str" cm="1">
        <f t="array" ref="I21">IFERROR(INDEX('Budget Planning'!$C:$C, header_row_id), "")</f>
        <v>Expenses</v>
      </c>
      <c r="J21" t="str" cm="1">
        <f t="array" ref="J21">IFERROR(INDEX('Budget Planning'!$C:$C, row_id), "")</f>
        <v>Utilites</v>
      </c>
      <c r="K21" s="52" cm="1">
        <f t="array" aca="1" ref="K21"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900</v>
      </c>
      <c r="L21" s="53" cm="1">
        <f t="array" aca="1" ref="L21" ca="1">IF(OR(is_header, is_empty), "", INDEX('Budget Planning'!$E:$EM, row_id, MATCH(IF(selected_period="Total Year", selected_year, DATE(selected_year, selected_period, 1)), 'Budget Planning'!$E$9:$EM$9, 0)))</f>
        <v>3600</v>
      </c>
      <c r="M21" s="50" cm="1">
        <f t="array" ref="M21">IF(is_category, IF(header_row_id=income_header_row, MATCH(income_min_row, $C:$C, 0), IF(header_row_id=expenses_header_row, MATCH(expenses_min_row, $C:$C, 0), IF(header_row_id=savings_header_row, MATCH(savings_min_row, $C:$C, 0), ""))), "")</f>
        <v>20</v>
      </c>
      <c r="N21" s="51" cm="1">
        <f t="array" ref="N21">IF(is_category, IF(header_row_id=income_header_row, MATCH(income_max_row, $C:$C, 0), IF(header_row_id=expenses_header_row, MATCH(expenses_max_row, $C:$C, 0), IF(header_row_id=savings_header_row, MATCH(savings_max_row, $C:$C, 0), ""))), "")</f>
        <v>28</v>
      </c>
      <c r="O21" s="50" t="str">
        <f t="shared" si="3"/>
        <v>$K$20:$K$28</v>
      </c>
      <c r="P21" s="49">
        <f t="shared" ca="1" si="4"/>
        <v>2</v>
      </c>
      <c r="Q21" s="49" t="str">
        <f t="shared" si="5"/>
        <v>$L$20:$L$28</v>
      </c>
      <c r="R21" s="51">
        <f t="shared" ca="1" si="6"/>
        <v>4</v>
      </c>
      <c r="S21" s="50">
        <f t="shared" ca="1" si="7"/>
        <v>24</v>
      </c>
      <c r="T21" s="49" t="str">
        <f t="shared" si="8"/>
        <v>$S$20:$S$28</v>
      </c>
      <c r="U21" s="49">
        <f t="shared" ca="1" si="9"/>
        <v>3</v>
      </c>
      <c r="V21" s="49" t="str">
        <f t="shared" si="10"/>
        <v>$U$20:$U$21</v>
      </c>
      <c r="W21" s="47">
        <f t="shared" ca="1" si="11"/>
        <v>3</v>
      </c>
      <c r="X21" s="56">
        <f t="shared" ca="1" si="12"/>
        <v>25</v>
      </c>
      <c r="Y21" s="57" t="str">
        <f t="shared" ca="1" si="13"/>
        <v>Groceries</v>
      </c>
      <c r="Z21" s="59">
        <f t="shared" ca="1" si="14"/>
        <v>900</v>
      </c>
      <c r="AA21" s="59">
        <f t="shared" ca="1" si="15"/>
        <v>4200</v>
      </c>
      <c r="AB21" s="58">
        <f t="shared" ca="1" si="16"/>
        <v>0.21428571428571427</v>
      </c>
      <c r="AC21" s="59">
        <f t="shared" ca="1" si="17"/>
        <v>3300</v>
      </c>
      <c r="AD21" s="59">
        <f t="shared" ca="1" si="18"/>
        <v>0</v>
      </c>
      <c r="AF21" s="4"/>
      <c r="AG21" s="72"/>
      <c r="AH21" s="72"/>
      <c r="AI21" s="82" t="str">
        <f ca="1">Calculations!E40</f>
        <v/>
      </c>
      <c r="AJ21" s="83" t="str">
        <f ca="1">Calculations!F40</f>
        <v/>
      </c>
      <c r="AK21" s="5"/>
      <c r="AM21" s="4"/>
      <c r="AN21" s="72"/>
      <c r="AO21" s="72"/>
      <c r="AP21" s="72"/>
      <c r="AQ21" s="72"/>
      <c r="AR21" s="5"/>
    </row>
    <row r="22" spans="3:44" x14ac:dyDescent="0.25">
      <c r="C22" s="4" cm="1">
        <f t="array" ref="C22">IF(C21=-1,-1, IF(C21&lt;income_max_row, C21+1, IF(C21=income_max_row, income_total_row, IF(C21=income_total_row, "/1", IF(C21="/1", expenses_header_row, IF(C21&lt;expenses_max_row, C21+1, IF(C21=expenses_max_row, expenses_total_row, IF(C21=expenses_total_row, "/2", IF(C21="/2", savings_header_row, IF(C21&lt;savings_max_row, C21+1, IF(C21=savings_max_row, savings_total_row, -1)))))))))))</f>
        <v>25</v>
      </c>
      <c r="D22" s="5">
        <f t="shared" si="0"/>
        <v>22</v>
      </c>
      <c r="E22" s="4" cm="1">
        <f t="array" ref="E22">1*OR(row_id=income_header_row, row_id=expenses_header_row, row_id=savings_header_row)</f>
        <v>0</v>
      </c>
      <c r="F22">
        <f t="shared" si="1"/>
        <v>1</v>
      </c>
      <c r="G22" cm="1">
        <f t="array" ref="G22">1*OR(row_id=income_total_row, row_id=expenses_total_row, row_id=savings_total_row)</f>
        <v>0</v>
      </c>
      <c r="H22" s="5">
        <f t="shared" si="2"/>
        <v>0</v>
      </c>
      <c r="I22" s="4" t="str" cm="1">
        <f t="array" ref="I22">IFERROR(INDEX('Budget Planning'!$C:$C, header_row_id), "")</f>
        <v>Expenses</v>
      </c>
      <c r="J22" t="str" cm="1">
        <f t="array" ref="J22">IFERROR(INDEX('Budget Planning'!$C:$C, row_id), "")</f>
        <v>Groceries</v>
      </c>
      <c r="K22" s="52" cm="1">
        <f t="array" aca="1" ref="K22"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900</v>
      </c>
      <c r="L22" s="53" cm="1">
        <f t="array" aca="1" ref="L22" ca="1">IF(OR(is_header, is_empty), "", INDEX('Budget Planning'!$E:$EM, row_id, MATCH(IF(selected_period="Total Year", selected_year, DATE(selected_year, selected_period, 1)), 'Budget Planning'!$E$9:$EM$9, 0)))</f>
        <v>4200</v>
      </c>
      <c r="M22" s="50" cm="1">
        <f t="array" ref="M22">IF(is_category, IF(header_row_id=income_header_row, MATCH(income_min_row, $C:$C, 0), IF(header_row_id=expenses_header_row, MATCH(expenses_min_row, $C:$C, 0), IF(header_row_id=savings_header_row, MATCH(savings_min_row, $C:$C, 0), ""))), "")</f>
        <v>20</v>
      </c>
      <c r="N22" s="51" cm="1">
        <f t="array" ref="N22">IF(is_category, IF(header_row_id=income_header_row, MATCH(income_max_row, $C:$C, 0), IF(header_row_id=expenses_header_row, MATCH(expenses_max_row, $C:$C, 0), IF(header_row_id=savings_header_row, MATCH(savings_max_row, $C:$C, 0), ""))), "")</f>
        <v>28</v>
      </c>
      <c r="O22" s="50" t="str">
        <f t="shared" si="3"/>
        <v>$K$20:$K$28</v>
      </c>
      <c r="P22" s="49">
        <f t="shared" ca="1" si="4"/>
        <v>2</v>
      </c>
      <c r="Q22" s="49" t="str">
        <f t="shared" si="5"/>
        <v>$L$20:$L$28</v>
      </c>
      <c r="R22" s="51">
        <f t="shared" ca="1" si="6"/>
        <v>3</v>
      </c>
      <c r="S22" s="50">
        <f t="shared" ca="1" si="7"/>
        <v>23</v>
      </c>
      <c r="T22" s="49" t="str">
        <f t="shared" si="8"/>
        <v>$S$20:$S$28</v>
      </c>
      <c r="U22" s="49">
        <f t="shared" ca="1" si="9"/>
        <v>2</v>
      </c>
      <c r="V22" s="49" t="str">
        <f t="shared" si="10"/>
        <v>$U$20:$U$22</v>
      </c>
      <c r="W22" s="47">
        <f t="shared" ca="1" si="11"/>
        <v>2</v>
      </c>
      <c r="X22" s="56">
        <f t="shared" ca="1" si="12"/>
        <v>24</v>
      </c>
      <c r="Y22" s="57" t="str">
        <f t="shared" ca="1" si="13"/>
        <v>Utilites</v>
      </c>
      <c r="Z22" s="59">
        <f t="shared" ca="1" si="14"/>
        <v>900</v>
      </c>
      <c r="AA22" s="59">
        <f t="shared" ca="1" si="15"/>
        <v>3600</v>
      </c>
      <c r="AB22" s="58">
        <f t="shared" ca="1" si="16"/>
        <v>0.25</v>
      </c>
      <c r="AC22" s="59">
        <f t="shared" ca="1" si="17"/>
        <v>2700</v>
      </c>
      <c r="AD22" s="59">
        <f t="shared" ca="1" si="18"/>
        <v>0</v>
      </c>
      <c r="AF22" s="4"/>
      <c r="AG22" s="72"/>
      <c r="AH22" s="72"/>
      <c r="AI22" s="84" t="str">
        <f>Calculations!E41</f>
        <v>Total</v>
      </c>
      <c r="AJ22" s="85">
        <f ca="1">Calculations!F41</f>
        <v>13600</v>
      </c>
      <c r="AK22" s="5"/>
      <c r="AM22" s="4"/>
      <c r="AN22" s="72"/>
      <c r="AO22" s="72"/>
      <c r="AP22" s="72"/>
      <c r="AQ22" s="72"/>
      <c r="AR22" s="5"/>
    </row>
    <row r="23" spans="3:44" x14ac:dyDescent="0.25">
      <c r="C23" s="4" cm="1">
        <f t="array" ref="C23">IF(C22=-1,-1, IF(C22&lt;income_max_row, C22+1, IF(C22=income_max_row, income_total_row, IF(C22=income_total_row, "/1", IF(C22="/1", expenses_header_row, IF(C22&lt;expenses_max_row, C22+1, IF(C22=expenses_max_row, expenses_total_row, IF(C22=expenses_total_row, "/2", IF(C22="/2", savings_header_row, IF(C22&lt;savings_max_row, C22+1, IF(C22=savings_max_row, savings_total_row, -1)))))))))))</f>
        <v>26</v>
      </c>
      <c r="D23" s="5">
        <f t="shared" si="0"/>
        <v>22</v>
      </c>
      <c r="E23" s="4" cm="1">
        <f t="array" ref="E23">1*OR(row_id=income_header_row, row_id=expenses_header_row, row_id=savings_header_row)</f>
        <v>0</v>
      </c>
      <c r="F23">
        <f t="shared" si="1"/>
        <v>1</v>
      </c>
      <c r="G23" cm="1">
        <f t="array" ref="G23">1*OR(row_id=income_total_row, row_id=expenses_total_row, row_id=savings_total_row)</f>
        <v>0</v>
      </c>
      <c r="H23" s="5">
        <f t="shared" si="2"/>
        <v>0</v>
      </c>
      <c r="I23" s="4" t="str" cm="1">
        <f t="array" ref="I23">IFERROR(INDEX('Budget Planning'!$C:$C, header_row_id), "")</f>
        <v>Expenses</v>
      </c>
      <c r="J23" t="str" cm="1">
        <f t="array" ref="J23">IFERROR(INDEX('Budget Planning'!$C:$C, row_id), "")</f>
        <v>Transportation</v>
      </c>
      <c r="K23" s="52" cm="1">
        <f t="array" aca="1" ref="K23"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610</v>
      </c>
      <c r="L23" s="53" cm="1">
        <f t="array" aca="1" ref="L23" ca="1">IF(OR(is_header, is_empty), "", INDEX('Budget Planning'!$E:$EM, row_id, MATCH(IF(selected_period="Total Year", selected_year, DATE(selected_year, selected_period, 1)), 'Budget Planning'!$E$9:$EM$9, 0)))</f>
        <v>3600</v>
      </c>
      <c r="M23" s="50" cm="1">
        <f t="array" ref="M23">IF(is_category, IF(header_row_id=income_header_row, MATCH(income_min_row, $C:$C, 0), IF(header_row_id=expenses_header_row, MATCH(expenses_min_row, $C:$C, 0), IF(header_row_id=savings_header_row, MATCH(savings_min_row, $C:$C, 0), ""))), "")</f>
        <v>20</v>
      </c>
      <c r="N23" s="51" cm="1">
        <f t="array" ref="N23">IF(is_category, IF(header_row_id=income_header_row, MATCH(income_max_row, $C:$C, 0), IF(header_row_id=expenses_header_row, MATCH(expenses_max_row, $C:$C, 0), IF(header_row_id=savings_header_row, MATCH(savings_max_row, $C:$C, 0), ""))), "")</f>
        <v>28</v>
      </c>
      <c r="O23" s="50" t="str">
        <f t="shared" si="3"/>
        <v>$K$20:$K$28</v>
      </c>
      <c r="P23" s="49">
        <f t="shared" ca="1" si="4"/>
        <v>5</v>
      </c>
      <c r="Q23" s="49" t="str">
        <f t="shared" si="5"/>
        <v>$L$20:$L$28</v>
      </c>
      <c r="R23" s="51">
        <f t="shared" ca="1" si="6"/>
        <v>4</v>
      </c>
      <c r="S23" s="50">
        <f t="shared" ca="1" si="7"/>
        <v>54</v>
      </c>
      <c r="T23" s="49" t="str">
        <f t="shared" si="8"/>
        <v>$S$20:$S$28</v>
      </c>
      <c r="U23" s="49">
        <f t="shared" ca="1" si="9"/>
        <v>5</v>
      </c>
      <c r="V23" s="49" t="str">
        <f t="shared" si="10"/>
        <v>$U$20:$U$23</v>
      </c>
      <c r="W23" s="47">
        <f t="shared" ca="1" si="11"/>
        <v>5</v>
      </c>
      <c r="X23" s="56">
        <f t="shared" ca="1" si="12"/>
        <v>27</v>
      </c>
      <c r="Y23" s="57" t="str">
        <f t="shared" ca="1" si="13"/>
        <v>Fun &amp; Vacation</v>
      </c>
      <c r="Z23" s="59">
        <f t="shared" ca="1" si="14"/>
        <v>730</v>
      </c>
      <c r="AA23" s="59">
        <f t="shared" ca="1" si="15"/>
        <v>6000</v>
      </c>
      <c r="AB23" s="58">
        <f t="shared" ca="1" si="16"/>
        <v>0.12166666666666667</v>
      </c>
      <c r="AC23" s="59">
        <f t="shared" ca="1" si="17"/>
        <v>5270</v>
      </c>
      <c r="AD23" s="59">
        <f t="shared" ca="1" si="18"/>
        <v>0</v>
      </c>
      <c r="AF23" s="4"/>
      <c r="AG23" s="72"/>
      <c r="AH23" s="72"/>
      <c r="AI23" s="72"/>
      <c r="AJ23" s="72"/>
      <c r="AK23" s="5"/>
      <c r="AM23" s="4"/>
      <c r="AN23" s="72"/>
      <c r="AO23" s="72"/>
      <c r="AP23" s="72"/>
      <c r="AQ23" s="72"/>
      <c r="AR23" s="5"/>
    </row>
    <row r="24" spans="3:44" x14ac:dyDescent="0.25">
      <c r="C24" s="4" cm="1">
        <f t="array" ref="C24">IF(C23=-1,-1, IF(C23&lt;income_max_row, C23+1, IF(C23=income_max_row, income_total_row, IF(C23=income_total_row, "/1", IF(C23="/1", expenses_header_row, IF(C23&lt;expenses_max_row, C23+1, IF(C23=expenses_max_row, expenses_total_row, IF(C23=expenses_total_row, "/2", IF(C23="/2", savings_header_row, IF(C23&lt;savings_max_row, C23+1, IF(C23=savings_max_row, savings_total_row, -1)))))))))))</f>
        <v>27</v>
      </c>
      <c r="D24" s="5">
        <f t="shared" si="0"/>
        <v>22</v>
      </c>
      <c r="E24" s="4" cm="1">
        <f t="array" ref="E24">1*OR(row_id=income_header_row, row_id=expenses_header_row, row_id=savings_header_row)</f>
        <v>0</v>
      </c>
      <c r="F24">
        <f t="shared" si="1"/>
        <v>1</v>
      </c>
      <c r="G24" cm="1">
        <f t="array" ref="G24">1*OR(row_id=income_total_row, row_id=expenses_total_row, row_id=savings_total_row)</f>
        <v>0</v>
      </c>
      <c r="H24" s="5">
        <f t="shared" si="2"/>
        <v>0</v>
      </c>
      <c r="I24" s="4" t="str" cm="1">
        <f t="array" ref="I24">IFERROR(INDEX('Budget Planning'!$C:$C, header_row_id), "")</f>
        <v>Expenses</v>
      </c>
      <c r="J24" t="str" cm="1">
        <f t="array" ref="J24">IFERROR(INDEX('Budget Planning'!$C:$C, row_id), "")</f>
        <v>Insurances</v>
      </c>
      <c r="K24" s="52" cm="1">
        <f t="array" aca="1" ref="K24"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150</v>
      </c>
      <c r="L24" s="53" cm="1">
        <f t="array" aca="1" ref="L24" ca="1">IF(OR(is_header, is_empty), "", INDEX('Budget Planning'!$E:$EM, row_id, MATCH(IF(selected_period="Total Year", selected_year, DATE(selected_year, selected_period, 1)), 'Budget Planning'!$E$9:$EM$9, 0)))</f>
        <v>600</v>
      </c>
      <c r="M24" s="50" cm="1">
        <f t="array" ref="M24">IF(is_category, IF(header_row_id=income_header_row, MATCH(income_min_row, $C:$C, 0), IF(header_row_id=expenses_header_row, MATCH(expenses_min_row, $C:$C, 0), IF(header_row_id=savings_header_row, MATCH(savings_min_row, $C:$C, 0), ""))), "")</f>
        <v>20</v>
      </c>
      <c r="N24" s="51" cm="1">
        <f t="array" ref="N24">IF(is_category, IF(header_row_id=income_header_row, MATCH(income_max_row, $C:$C, 0), IF(header_row_id=expenses_header_row, MATCH(expenses_max_row, $C:$C, 0), IF(header_row_id=savings_header_row, MATCH(savings_max_row, $C:$C, 0), ""))), "")</f>
        <v>28</v>
      </c>
      <c r="O24" s="50" t="str">
        <f t="shared" si="3"/>
        <v>$K$20:$K$28</v>
      </c>
      <c r="P24" s="49">
        <f t="shared" ca="1" si="4"/>
        <v>9</v>
      </c>
      <c r="Q24" s="49" t="str">
        <f t="shared" si="5"/>
        <v>$L$20:$L$28</v>
      </c>
      <c r="R24" s="51">
        <f t="shared" ca="1" si="6"/>
        <v>8</v>
      </c>
      <c r="S24" s="50">
        <f t="shared" ca="1" si="7"/>
        <v>98</v>
      </c>
      <c r="T24" s="49" t="str">
        <f t="shared" si="8"/>
        <v>$S$20:$S$28</v>
      </c>
      <c r="U24" s="49">
        <f t="shared" ca="1" si="9"/>
        <v>9</v>
      </c>
      <c r="V24" s="49" t="str">
        <f t="shared" si="10"/>
        <v>$U$20:$U$24</v>
      </c>
      <c r="W24" s="47">
        <f t="shared" ca="1" si="11"/>
        <v>9</v>
      </c>
      <c r="X24" s="56">
        <f t="shared" ca="1" si="12"/>
        <v>31</v>
      </c>
      <c r="Y24" s="57" t="str">
        <f t="shared" ca="1" si="13"/>
        <v>Transportation</v>
      </c>
      <c r="Z24" s="59">
        <f t="shared" ca="1" si="14"/>
        <v>610</v>
      </c>
      <c r="AA24" s="59">
        <f t="shared" ca="1" si="15"/>
        <v>3600</v>
      </c>
      <c r="AB24" s="58">
        <f t="shared" ca="1" si="16"/>
        <v>0.16944444444444445</v>
      </c>
      <c r="AC24" s="59">
        <f t="shared" ca="1" si="17"/>
        <v>2990</v>
      </c>
      <c r="AD24" s="59">
        <f t="shared" ca="1" si="18"/>
        <v>0</v>
      </c>
      <c r="AF24" s="6"/>
      <c r="AG24" s="2"/>
      <c r="AH24" s="2"/>
      <c r="AI24" s="2"/>
      <c r="AJ24" s="2"/>
      <c r="AK24" s="7"/>
      <c r="AM24" s="6"/>
      <c r="AN24" s="2"/>
      <c r="AO24" s="2"/>
      <c r="AP24" s="2"/>
      <c r="AQ24" s="2"/>
      <c r="AR24" s="7"/>
    </row>
    <row r="25" spans="3:44" x14ac:dyDescent="0.25">
      <c r="C25" s="4" cm="1">
        <f t="array" ref="C25">IF(C24=-1,-1, IF(C24&lt;income_max_row, C24+1, IF(C24=income_max_row, income_total_row, IF(C24=income_total_row, "/1", IF(C24="/1", expenses_header_row, IF(C24&lt;expenses_max_row, C24+1, IF(C24=expenses_max_row, expenses_total_row, IF(C24=expenses_total_row, "/2", IF(C24="/2", savings_header_row, IF(C24&lt;savings_max_row, C24+1, IF(C24=savings_max_row, savings_total_row, -1)))))))))))</f>
        <v>28</v>
      </c>
      <c r="D25" s="5">
        <f t="shared" si="0"/>
        <v>22</v>
      </c>
      <c r="E25" s="4" cm="1">
        <f t="array" ref="E25">1*OR(row_id=income_header_row, row_id=expenses_header_row, row_id=savings_header_row)</f>
        <v>0</v>
      </c>
      <c r="F25">
        <f t="shared" si="1"/>
        <v>1</v>
      </c>
      <c r="G25" cm="1">
        <f t="array" ref="G25">1*OR(row_id=income_total_row, row_id=expenses_total_row, row_id=savings_total_row)</f>
        <v>0</v>
      </c>
      <c r="H25" s="5">
        <f t="shared" si="2"/>
        <v>0</v>
      </c>
      <c r="I25" s="4" t="str" cm="1">
        <f t="array" ref="I25">IFERROR(INDEX('Budget Planning'!$C:$C, header_row_id), "")</f>
        <v>Expenses</v>
      </c>
      <c r="J25" t="str" cm="1">
        <f t="array" ref="J25">IFERROR(INDEX('Budget Planning'!$C:$C, row_id), "")</f>
        <v>Clothing</v>
      </c>
      <c r="K25" s="52" cm="1">
        <f t="array" aca="1" ref="K25"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360</v>
      </c>
      <c r="L25" s="53" cm="1">
        <f t="array" aca="1" ref="L25" ca="1">IF(OR(is_header, is_empty), "", INDEX('Budget Planning'!$E:$EM, row_id, MATCH(IF(selected_period="Total Year", selected_year, DATE(selected_year, selected_period, 1)), 'Budget Planning'!$E$9:$EM$9, 0)))</f>
        <v>2400</v>
      </c>
      <c r="M25" s="50" cm="1">
        <f t="array" ref="M25">IF(is_category, IF(header_row_id=income_header_row, MATCH(income_min_row, $C:$C, 0), IF(header_row_id=expenses_header_row, MATCH(expenses_min_row, $C:$C, 0), IF(header_row_id=savings_header_row, MATCH(savings_min_row, $C:$C, 0), ""))), "")</f>
        <v>20</v>
      </c>
      <c r="N25" s="51" cm="1">
        <f t="array" ref="N25">IF(is_category, IF(header_row_id=income_header_row, MATCH(income_max_row, $C:$C, 0), IF(header_row_id=expenses_header_row, MATCH(expenses_max_row, $C:$C, 0), IF(header_row_id=savings_header_row, MATCH(savings_max_row, $C:$C, 0), ""))), "")</f>
        <v>28</v>
      </c>
      <c r="O25" s="50" t="str">
        <f t="shared" si="3"/>
        <v>$K$20:$K$28</v>
      </c>
      <c r="P25" s="49">
        <f t="shared" ca="1" si="4"/>
        <v>7</v>
      </c>
      <c r="Q25" s="49" t="str">
        <f t="shared" si="5"/>
        <v>$L$20:$L$28</v>
      </c>
      <c r="R25" s="51">
        <f t="shared" ca="1" si="6"/>
        <v>6</v>
      </c>
      <c r="S25" s="50">
        <f t="shared" ca="1" si="7"/>
        <v>76</v>
      </c>
      <c r="T25" s="49" t="str">
        <f t="shared" si="8"/>
        <v>$S$20:$S$28</v>
      </c>
      <c r="U25" s="49">
        <f t="shared" ca="1" si="9"/>
        <v>7</v>
      </c>
      <c r="V25" s="49" t="str">
        <f t="shared" si="10"/>
        <v>$U$20:$U$25</v>
      </c>
      <c r="W25" s="47">
        <f t="shared" ca="1" si="11"/>
        <v>7</v>
      </c>
      <c r="X25" s="56">
        <f t="shared" ca="1" si="12"/>
        <v>29</v>
      </c>
      <c r="Y25" s="57" t="str">
        <f t="shared" ca="1" si="13"/>
        <v>Body Care &amp; Medicine</v>
      </c>
      <c r="Z25" s="59">
        <f t="shared" ca="1" si="14"/>
        <v>470</v>
      </c>
      <c r="AA25" s="59">
        <f t="shared" ca="1" si="15"/>
        <v>2400</v>
      </c>
      <c r="AB25" s="58">
        <f t="shared" ca="1" si="16"/>
        <v>0.19583333333333333</v>
      </c>
      <c r="AC25" s="59">
        <f t="shared" ca="1" si="17"/>
        <v>1930</v>
      </c>
      <c r="AD25" s="59">
        <f t="shared" ca="1" si="18"/>
        <v>0</v>
      </c>
    </row>
    <row r="26" spans="3:44" x14ac:dyDescent="0.25">
      <c r="C26" s="4" cm="1">
        <f t="array" ref="C26">IF(C25=-1,-1, IF(C25&lt;income_max_row, C25+1, IF(C25=income_max_row, income_total_row, IF(C25=income_total_row, "/1", IF(C25="/1", expenses_header_row, IF(C25&lt;expenses_max_row, C25+1, IF(C25=expenses_max_row, expenses_total_row, IF(C25=expenses_total_row, "/2", IF(C25="/2", savings_header_row, IF(C25&lt;savings_max_row, C25+1, IF(C25=savings_max_row, savings_total_row, -1)))))))))))</f>
        <v>29</v>
      </c>
      <c r="D26" s="5">
        <f t="shared" si="0"/>
        <v>22</v>
      </c>
      <c r="E26" s="4" cm="1">
        <f t="array" ref="E26">1*OR(row_id=income_header_row, row_id=expenses_header_row, row_id=savings_header_row)</f>
        <v>0</v>
      </c>
      <c r="F26">
        <f t="shared" si="1"/>
        <v>1</v>
      </c>
      <c r="G26" cm="1">
        <f t="array" ref="G26">1*OR(row_id=income_total_row, row_id=expenses_total_row, row_id=savings_total_row)</f>
        <v>0</v>
      </c>
      <c r="H26" s="5">
        <f t="shared" si="2"/>
        <v>0</v>
      </c>
      <c r="I26" s="4" t="str" cm="1">
        <f t="array" ref="I26">IFERROR(INDEX('Budget Planning'!$C:$C, header_row_id), "")</f>
        <v>Expenses</v>
      </c>
      <c r="J26" t="str" cm="1">
        <f t="array" ref="J26">IFERROR(INDEX('Budget Planning'!$C:$C, row_id), "")</f>
        <v>Body Care &amp; Medicine</v>
      </c>
      <c r="K26" s="52" cm="1">
        <f t="array" aca="1" ref="K26"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470</v>
      </c>
      <c r="L26" s="53" cm="1">
        <f t="array" aca="1" ref="L26" ca="1">IF(OR(is_header, is_empty), "", INDEX('Budget Planning'!$E:$EM, row_id, MATCH(IF(selected_period="Total Year", selected_year, DATE(selected_year, selected_period, 1)), 'Budget Planning'!$E$9:$EM$9, 0)))</f>
        <v>2400</v>
      </c>
      <c r="M26" s="50" cm="1">
        <f t="array" ref="M26">IF(is_category, IF(header_row_id=income_header_row, MATCH(income_min_row, $C:$C, 0), IF(header_row_id=expenses_header_row, MATCH(expenses_min_row, $C:$C, 0), IF(header_row_id=savings_header_row, MATCH(savings_min_row, $C:$C, 0), ""))), "")</f>
        <v>20</v>
      </c>
      <c r="N26" s="51" cm="1">
        <f t="array" ref="N26">IF(is_category, IF(header_row_id=income_header_row, MATCH(income_max_row, $C:$C, 0), IF(header_row_id=expenses_header_row, MATCH(expenses_max_row, $C:$C, 0), IF(header_row_id=savings_header_row, MATCH(savings_max_row, $C:$C, 0), ""))), "")</f>
        <v>28</v>
      </c>
      <c r="O26" s="50" t="str">
        <f t="shared" si="3"/>
        <v>$K$20:$K$28</v>
      </c>
      <c r="P26" s="49">
        <f t="shared" ca="1" si="4"/>
        <v>6</v>
      </c>
      <c r="Q26" s="49" t="str">
        <f t="shared" si="5"/>
        <v>$L$20:$L$28</v>
      </c>
      <c r="R26" s="51">
        <f t="shared" ca="1" si="6"/>
        <v>6</v>
      </c>
      <c r="S26" s="50">
        <f t="shared" ca="1" si="7"/>
        <v>66</v>
      </c>
      <c r="T26" s="49" t="str">
        <f t="shared" si="8"/>
        <v>$S$20:$S$28</v>
      </c>
      <c r="U26" s="49">
        <f t="shared" ca="1" si="9"/>
        <v>6</v>
      </c>
      <c r="V26" s="49" t="str">
        <f t="shared" si="10"/>
        <v>$U$20:$U$26</v>
      </c>
      <c r="W26" s="47">
        <f t="shared" ca="1" si="11"/>
        <v>6</v>
      </c>
      <c r="X26" s="56">
        <f t="shared" ca="1" si="12"/>
        <v>28</v>
      </c>
      <c r="Y26" s="57" t="str">
        <f t="shared" ca="1" si="13"/>
        <v>Clothing</v>
      </c>
      <c r="Z26" s="59">
        <f t="shared" ca="1" si="14"/>
        <v>360</v>
      </c>
      <c r="AA26" s="59">
        <f t="shared" ca="1" si="15"/>
        <v>2400</v>
      </c>
      <c r="AB26" s="58">
        <f t="shared" ca="1" si="16"/>
        <v>0.15</v>
      </c>
      <c r="AC26" s="59">
        <f t="shared" ca="1" si="17"/>
        <v>2040</v>
      </c>
      <c r="AD26" s="59">
        <f t="shared" ca="1" si="18"/>
        <v>0</v>
      </c>
      <c r="AF26" s="69"/>
      <c r="AG26" s="70"/>
      <c r="AH26" s="70"/>
      <c r="AI26" s="70"/>
      <c r="AJ26" s="70"/>
      <c r="AK26" s="71"/>
      <c r="AM26" s="69"/>
      <c r="AN26" s="70"/>
      <c r="AO26" s="70"/>
      <c r="AP26" s="70"/>
      <c r="AQ26" s="70"/>
      <c r="AR26" s="71"/>
    </row>
    <row r="27" spans="3:44" x14ac:dyDescent="0.25">
      <c r="C27" s="4" cm="1">
        <f t="array" ref="C27">IF(C26=-1,-1, IF(C26&lt;income_max_row, C26+1, IF(C26=income_max_row, income_total_row, IF(C26=income_total_row, "/1", IF(C26="/1", expenses_header_row, IF(C26&lt;expenses_max_row, C26+1, IF(C26=expenses_max_row, expenses_total_row, IF(C26=expenses_total_row, "/2", IF(C26="/2", savings_header_row, IF(C26&lt;savings_max_row, C26+1, IF(C26=savings_max_row, savings_total_row, -1)))))))))))</f>
        <v>30</v>
      </c>
      <c r="D27" s="5">
        <f t="shared" si="0"/>
        <v>22</v>
      </c>
      <c r="E27" s="4" cm="1">
        <f t="array" ref="E27">1*OR(row_id=income_header_row, row_id=expenses_header_row, row_id=savings_header_row)</f>
        <v>0</v>
      </c>
      <c r="F27">
        <f t="shared" si="1"/>
        <v>1</v>
      </c>
      <c r="G27" cm="1">
        <f t="array" ref="G27">1*OR(row_id=income_total_row, row_id=expenses_total_row, row_id=savings_total_row)</f>
        <v>0</v>
      </c>
      <c r="H27" s="5">
        <f t="shared" si="2"/>
        <v>0</v>
      </c>
      <c r="I27" s="4" t="str" cm="1">
        <f t="array" ref="I27">IFERROR(INDEX('Budget Planning'!$C:$C, header_row_id), "")</f>
        <v>Expenses</v>
      </c>
      <c r="J27" t="str" cm="1">
        <f t="array" ref="J27">IFERROR(INDEX('Budget Planning'!$C:$C, row_id), "")</f>
        <v>Media</v>
      </c>
      <c r="K27" s="52" cm="1">
        <f t="array" aca="1" ref="K27"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170</v>
      </c>
      <c r="L27" s="53" cm="1">
        <f t="array" aca="1" ref="L27" ca="1">IF(OR(is_header, is_empty), "", INDEX('Budget Planning'!$E:$EM, row_id, MATCH(IF(selected_period="Total Year", selected_year, DATE(selected_year, selected_period, 1)), 'Budget Planning'!$E$9:$EM$9, 0)))</f>
        <v>600</v>
      </c>
      <c r="M27" s="50" cm="1">
        <f t="array" ref="M27">IF(is_category, IF(header_row_id=income_header_row, MATCH(income_min_row, $C:$C, 0), IF(header_row_id=expenses_header_row, MATCH(expenses_min_row, $C:$C, 0), IF(header_row_id=savings_header_row, MATCH(savings_min_row, $C:$C, 0), ""))), "")</f>
        <v>20</v>
      </c>
      <c r="N27" s="51" cm="1">
        <f t="array" ref="N27">IF(is_category, IF(header_row_id=income_header_row, MATCH(income_max_row, $C:$C, 0), IF(header_row_id=expenses_header_row, MATCH(expenses_max_row, $C:$C, 0), IF(header_row_id=savings_header_row, MATCH(savings_max_row, $C:$C, 0), ""))), "")</f>
        <v>28</v>
      </c>
      <c r="O27" s="50" t="str">
        <f t="shared" si="3"/>
        <v>$K$20:$K$28</v>
      </c>
      <c r="P27" s="49">
        <f t="shared" ca="1" si="4"/>
        <v>8</v>
      </c>
      <c r="Q27" s="49" t="str">
        <f t="shared" si="5"/>
        <v>$L$20:$L$28</v>
      </c>
      <c r="R27" s="51">
        <f t="shared" ca="1" si="6"/>
        <v>8</v>
      </c>
      <c r="S27" s="50">
        <f t="shared" ca="1" si="7"/>
        <v>88</v>
      </c>
      <c r="T27" s="49" t="str">
        <f t="shared" si="8"/>
        <v>$S$20:$S$28</v>
      </c>
      <c r="U27" s="49">
        <f t="shared" ca="1" si="9"/>
        <v>8</v>
      </c>
      <c r="V27" s="49" t="str">
        <f t="shared" si="10"/>
        <v>$U$20:$U$27</v>
      </c>
      <c r="W27" s="47">
        <f t="shared" ca="1" si="11"/>
        <v>8</v>
      </c>
      <c r="X27" s="56">
        <f t="shared" ca="1" si="12"/>
        <v>30</v>
      </c>
      <c r="Y27" s="57" t="str">
        <f t="shared" ca="1" si="13"/>
        <v>Media</v>
      </c>
      <c r="Z27" s="59">
        <f t="shared" ca="1" si="14"/>
        <v>170</v>
      </c>
      <c r="AA27" s="59">
        <f t="shared" ca="1" si="15"/>
        <v>600</v>
      </c>
      <c r="AB27" s="58">
        <f t="shared" ca="1" si="16"/>
        <v>0.28333333333333333</v>
      </c>
      <c r="AC27" s="59">
        <f t="shared" ca="1" si="17"/>
        <v>430</v>
      </c>
      <c r="AD27" s="59">
        <f t="shared" ca="1" si="18"/>
        <v>0</v>
      </c>
      <c r="AF27" s="4"/>
      <c r="AG27" s="72"/>
      <c r="AH27" s="72"/>
      <c r="AI27" s="72"/>
      <c r="AJ27" s="72"/>
      <c r="AK27" s="5"/>
      <c r="AM27" s="4"/>
      <c r="AN27" s="72"/>
      <c r="AO27" s="72"/>
      <c r="AP27" s="72"/>
      <c r="AQ27" s="72"/>
      <c r="AR27" s="5"/>
    </row>
    <row r="28" spans="3:44" x14ac:dyDescent="0.25">
      <c r="C28" s="4" cm="1">
        <f t="array" ref="C28">IF(C27=-1,-1, IF(C27&lt;income_max_row, C27+1, IF(C27=income_max_row, income_total_row, IF(C27=income_total_row, "/1", IF(C27="/1", expenses_header_row, IF(C27&lt;expenses_max_row, C27+1, IF(C27=expenses_max_row, expenses_total_row, IF(C27=expenses_total_row, "/2", IF(C27="/2", savings_header_row, IF(C27&lt;savings_max_row, C27+1, IF(C27=savings_max_row, savings_total_row, -1)))))))))))</f>
        <v>31</v>
      </c>
      <c r="D28" s="5">
        <f t="shared" si="0"/>
        <v>22</v>
      </c>
      <c r="E28" s="4" cm="1">
        <f t="array" ref="E28">1*OR(row_id=income_header_row, row_id=expenses_header_row, row_id=savings_header_row)</f>
        <v>0</v>
      </c>
      <c r="F28">
        <f t="shared" si="1"/>
        <v>1</v>
      </c>
      <c r="G28" cm="1">
        <f t="array" ref="G28">1*OR(row_id=income_total_row, row_id=expenses_total_row, row_id=savings_total_row)</f>
        <v>0</v>
      </c>
      <c r="H28" s="5">
        <f t="shared" si="2"/>
        <v>0</v>
      </c>
      <c r="I28" s="4" t="str" cm="1">
        <f t="array" ref="I28">IFERROR(INDEX('Budget Planning'!$C:$C, header_row_id), "")</f>
        <v>Expenses</v>
      </c>
      <c r="J28" t="str" cm="1">
        <f t="array" ref="J28">IFERROR(INDEX('Budget Planning'!$C:$C, row_id), "")</f>
        <v>Fun &amp; Vacation</v>
      </c>
      <c r="K28" s="52" cm="1">
        <f t="array" aca="1" ref="K28"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730</v>
      </c>
      <c r="L28" s="53" cm="1">
        <f t="array" aca="1" ref="L28" ca="1">IF(OR(is_header, is_empty), "", INDEX('Budget Planning'!$E:$EM, row_id, MATCH(IF(selected_period="Total Year", selected_year, DATE(selected_year, selected_period, 1)), 'Budget Planning'!$E$9:$EM$9, 0)))</f>
        <v>6000</v>
      </c>
      <c r="M28" s="50" cm="1">
        <f t="array" ref="M28">IF(is_category, IF(header_row_id=income_header_row, MATCH(income_min_row, $C:$C, 0), IF(header_row_id=expenses_header_row, MATCH(expenses_min_row, $C:$C, 0), IF(header_row_id=savings_header_row, MATCH(savings_min_row, $C:$C, 0), ""))), "")</f>
        <v>20</v>
      </c>
      <c r="N28" s="51" cm="1">
        <f t="array" ref="N28">IF(is_category, IF(header_row_id=income_header_row, MATCH(income_max_row, $C:$C, 0), IF(header_row_id=expenses_header_row, MATCH(expenses_max_row, $C:$C, 0), IF(header_row_id=savings_header_row, MATCH(savings_max_row, $C:$C, 0), ""))), "")</f>
        <v>28</v>
      </c>
      <c r="O28" s="50" t="str">
        <f t="shared" si="3"/>
        <v>$K$20:$K$28</v>
      </c>
      <c r="P28" s="49">
        <f t="shared" ca="1" si="4"/>
        <v>4</v>
      </c>
      <c r="Q28" s="49" t="str">
        <f t="shared" si="5"/>
        <v>$L$20:$L$28</v>
      </c>
      <c r="R28" s="51">
        <f t="shared" ca="1" si="6"/>
        <v>2</v>
      </c>
      <c r="S28" s="50">
        <f t="shared" ca="1" si="7"/>
        <v>42</v>
      </c>
      <c r="T28" s="49" t="str">
        <f t="shared" si="8"/>
        <v>$S$20:$S$28</v>
      </c>
      <c r="U28" s="49">
        <f t="shared" ca="1" si="9"/>
        <v>4</v>
      </c>
      <c r="V28" s="49" t="str">
        <f t="shared" si="10"/>
        <v>$U$20:$U$28</v>
      </c>
      <c r="W28" s="47">
        <f t="shared" ca="1" si="11"/>
        <v>4</v>
      </c>
      <c r="X28" s="56">
        <f t="shared" ca="1" si="12"/>
        <v>26</v>
      </c>
      <c r="Y28" s="57" t="str">
        <f t="shared" ca="1" si="13"/>
        <v>Insurances</v>
      </c>
      <c r="Z28" s="59">
        <f t="shared" ca="1" si="14"/>
        <v>150</v>
      </c>
      <c r="AA28" s="59">
        <f t="shared" ca="1" si="15"/>
        <v>600</v>
      </c>
      <c r="AB28" s="58">
        <f t="shared" ca="1" si="16"/>
        <v>0.25</v>
      </c>
      <c r="AC28" s="59">
        <f t="shared" ca="1" si="17"/>
        <v>450</v>
      </c>
      <c r="AD28" s="59">
        <f t="shared" ca="1" si="18"/>
        <v>0</v>
      </c>
      <c r="AF28" s="4"/>
      <c r="AG28" s="72"/>
      <c r="AH28" s="72"/>
      <c r="AI28" s="72"/>
      <c r="AJ28" s="72"/>
      <c r="AK28" s="5"/>
      <c r="AM28" s="4"/>
      <c r="AN28" s="72"/>
      <c r="AO28" s="72"/>
      <c r="AP28" s="72"/>
      <c r="AQ28" s="72"/>
      <c r="AR28" s="5"/>
    </row>
    <row r="29" spans="3:44" x14ac:dyDescent="0.25">
      <c r="C29" s="4" cm="1">
        <f t="array" ref="C29">IF(C28=-1,-1, IF(C28&lt;income_max_row, C28+1, IF(C28=income_max_row, income_total_row, IF(C28=income_total_row, "/1", IF(C28="/1", expenses_header_row, IF(C28&lt;expenses_max_row, C28+1, IF(C28=expenses_max_row, expenses_total_row, IF(C28=expenses_total_row, "/2", IF(C28="/2", savings_header_row, IF(C28&lt;savings_max_row, C28+1, IF(C28=savings_max_row, savings_total_row, -1)))))))))))</f>
        <v>36</v>
      </c>
      <c r="D29" s="5">
        <f t="shared" si="0"/>
        <v>22</v>
      </c>
      <c r="E29" s="4" cm="1">
        <f t="array" ref="E29">1*OR(row_id=income_header_row, row_id=expenses_header_row, row_id=savings_header_row)</f>
        <v>0</v>
      </c>
      <c r="F29">
        <f t="shared" si="1"/>
        <v>0</v>
      </c>
      <c r="G29" cm="1">
        <f t="array" ref="G29">1*OR(row_id=income_total_row, row_id=expenses_total_row, row_id=savings_total_row)</f>
        <v>1</v>
      </c>
      <c r="H29" s="5">
        <f t="shared" si="2"/>
        <v>0</v>
      </c>
      <c r="I29" s="4" t="str" cm="1">
        <f t="array" ref="I29">IFERROR(INDEX('Budget Planning'!$C:$C, header_row_id), "")</f>
        <v>Expenses</v>
      </c>
      <c r="J29" t="str" cm="1">
        <f t="array" ref="J29">IFERROR(INDEX('Budget Planning'!$C:$C, row_id), "")</f>
        <v>Total</v>
      </c>
      <c r="K29" s="52" cm="1">
        <f t="array" aca="1" ref="K29"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7890</v>
      </c>
      <c r="L29" s="53" cm="1">
        <f t="array" aca="1" ref="L29" ca="1">IF(OR(is_header, is_empty), "", INDEX('Budget Planning'!$E:$EM, row_id, MATCH(IF(selected_period="Total Year", selected_year, DATE(selected_year, selected_period, 1)), 'Budget Planning'!$E$9:$EM$9, 0)))</f>
        <v>37800</v>
      </c>
      <c r="M29" s="50" t="str" cm="1">
        <f t="array" ref="M29">IF(is_category, IF(header_row_id=income_header_row, MATCH(income_min_row, $C:$C, 0), IF(header_row_id=expenses_header_row, MATCH(expenses_min_row, $C:$C, 0), IF(header_row_id=savings_header_row, MATCH(savings_min_row, $C:$C, 0), ""))), "")</f>
        <v/>
      </c>
      <c r="N29" s="51" t="str" cm="1">
        <f t="array" ref="N29">IF(is_category, IF(header_row_id=income_header_row, MATCH(income_max_row, $C:$C, 0), IF(header_row_id=expenses_header_row, MATCH(expenses_max_row, $C:$C, 0), IF(header_row_id=savings_header_row, MATCH(savings_max_row, $C:$C, 0), ""))), "")</f>
        <v/>
      </c>
      <c r="O29" s="50" t="str">
        <f t="shared" si="3"/>
        <v/>
      </c>
      <c r="P29" s="49" t="str">
        <f t="shared" ca="1" si="4"/>
        <v/>
      </c>
      <c r="Q29" s="49" t="str">
        <f t="shared" si="5"/>
        <v/>
      </c>
      <c r="R29" s="51" t="str">
        <f t="shared" ca="1" si="6"/>
        <v/>
      </c>
      <c r="S29" s="50" t="str">
        <f t="shared" si="7"/>
        <v/>
      </c>
      <c r="T29" s="49" t="str">
        <f t="shared" si="8"/>
        <v/>
      </c>
      <c r="U29" s="49" t="str">
        <f t="shared" ca="1" si="9"/>
        <v/>
      </c>
      <c r="V29" s="49" t="str">
        <f t="shared" si="10"/>
        <v/>
      </c>
      <c r="W29" s="47" t="str">
        <f t="shared" ca="1" si="11"/>
        <v/>
      </c>
      <c r="X29" s="56">
        <f t="shared" si="12"/>
        <v>36</v>
      </c>
      <c r="Y29" s="57" t="str">
        <f t="shared" ca="1" si="13"/>
        <v>Total</v>
      </c>
      <c r="Z29" s="59">
        <f t="shared" ca="1" si="14"/>
        <v>7890</v>
      </c>
      <c r="AA29" s="59">
        <f t="shared" ca="1" si="15"/>
        <v>37800</v>
      </c>
      <c r="AB29" s="58">
        <f t="shared" ca="1" si="16"/>
        <v>0.20873015873015874</v>
      </c>
      <c r="AC29" s="59">
        <f t="shared" ca="1" si="17"/>
        <v>29910</v>
      </c>
      <c r="AD29" s="59">
        <f t="shared" ca="1" si="18"/>
        <v>0</v>
      </c>
      <c r="AF29" s="4"/>
      <c r="AG29" s="72"/>
      <c r="AH29" s="72"/>
      <c r="AI29" s="82" t="str">
        <f ca="1">Calculations!I35</f>
        <v>Housing</v>
      </c>
      <c r="AJ29" s="83">
        <f ca="1">Calculations!J35</f>
        <v>3600</v>
      </c>
      <c r="AK29" s="5"/>
      <c r="AM29" s="4"/>
      <c r="AN29" s="72"/>
      <c r="AO29" s="72"/>
      <c r="AP29" s="82" t="str">
        <f ca="1">Calculations!M35</f>
        <v>Emergency Fund</v>
      </c>
      <c r="AQ29" s="83">
        <f ca="1">Calculations!N35</f>
        <v>1140</v>
      </c>
      <c r="AR29" s="5"/>
    </row>
    <row r="30" spans="3:44" x14ac:dyDescent="0.25">
      <c r="C30" s="4" t="str" cm="1">
        <f t="array" ref="C30">IF(C29=-1,-1, IF(C29&lt;income_max_row, C29+1, IF(C29=income_max_row, income_total_row, IF(C29=income_total_row, "/1", IF(C29="/1", expenses_header_row, IF(C29&lt;expenses_max_row, C29+1, IF(C29=expenses_max_row, expenses_total_row, IF(C29=expenses_total_row, "/2", IF(C29="/2", savings_header_row, IF(C29&lt;savings_max_row, C29+1, IF(C29=savings_max_row, savings_total_row, -1)))))))))))</f>
        <v>/2</v>
      </c>
      <c r="D30" s="5">
        <f t="shared" si="0"/>
        <v>-1</v>
      </c>
      <c r="E30" s="4" cm="1">
        <f t="array" ref="E30">1*OR(row_id=income_header_row, row_id=expenses_header_row, row_id=savings_header_row)</f>
        <v>0</v>
      </c>
      <c r="F30">
        <f t="shared" si="1"/>
        <v>0</v>
      </c>
      <c r="G30" cm="1">
        <f t="array" ref="G30">1*OR(row_id=income_total_row, row_id=expenses_total_row, row_id=savings_total_row)</f>
        <v>0</v>
      </c>
      <c r="H30" s="5">
        <f t="shared" si="2"/>
        <v>1</v>
      </c>
      <c r="I30" s="4" t="str" cm="1">
        <f t="array" ref="I30">IFERROR(INDEX('Budget Planning'!$C:$C, header_row_id), "")</f>
        <v/>
      </c>
      <c r="J30" t="str" cm="1">
        <f t="array" ref="J30">IFERROR(INDEX('Budget Planning'!$C:$C, row_id), "")</f>
        <v/>
      </c>
      <c r="K30" s="52" t="str" cm="1">
        <f t="array" ref="K3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0" s="53" t="str" cm="1">
        <f t="array" ref="L30">IF(OR(is_header, is_empty), "", INDEX('Budget Planning'!$E:$EM, row_id, MATCH(IF(selected_period="Total Year", selected_year, DATE(selected_year, selected_period, 1)), 'Budget Planning'!$E$9:$EM$9, 0)))</f>
        <v/>
      </c>
      <c r="M30" s="50" t="str" cm="1">
        <f t="array" ref="M30">IF(is_category, IF(header_row_id=income_header_row, MATCH(income_min_row, $C:$C, 0), IF(header_row_id=expenses_header_row, MATCH(expenses_min_row, $C:$C, 0), IF(header_row_id=savings_header_row, MATCH(savings_min_row, $C:$C, 0), ""))), "")</f>
        <v/>
      </c>
      <c r="N30" s="51" t="str" cm="1">
        <f t="array" ref="N30">IF(is_category, IF(header_row_id=income_header_row, MATCH(income_max_row, $C:$C, 0), IF(header_row_id=expenses_header_row, MATCH(expenses_max_row, $C:$C, 0), IF(header_row_id=savings_header_row, MATCH(savings_max_row, $C:$C, 0), ""))), "")</f>
        <v/>
      </c>
      <c r="O30" s="50" t="str">
        <f t="shared" si="3"/>
        <v/>
      </c>
      <c r="P30" s="49" t="str">
        <f t="shared" ca="1" si="4"/>
        <v/>
      </c>
      <c r="Q30" s="49" t="str">
        <f t="shared" si="5"/>
        <v/>
      </c>
      <c r="R30" s="51" t="str">
        <f t="shared" ca="1" si="6"/>
        <v/>
      </c>
      <c r="S30" s="50" t="str">
        <f t="shared" si="7"/>
        <v/>
      </c>
      <c r="T30" s="49" t="str">
        <f t="shared" si="8"/>
        <v/>
      </c>
      <c r="U30" s="49" t="str">
        <f t="shared" ca="1" si="9"/>
        <v/>
      </c>
      <c r="V30" s="49" t="str">
        <f t="shared" si="10"/>
        <v/>
      </c>
      <c r="W30" s="47" t="str">
        <f t="shared" ca="1" si="11"/>
        <v/>
      </c>
      <c r="X30" s="56" t="str">
        <f t="shared" si="12"/>
        <v>/2</v>
      </c>
      <c r="Y30" s="57" t="str">
        <f t="shared" si="13"/>
        <v/>
      </c>
      <c r="Z30" s="59" t="str">
        <f t="shared" si="14"/>
        <v/>
      </c>
      <c r="AA30" s="59" t="str">
        <f t="shared" si="15"/>
        <v/>
      </c>
      <c r="AB30" s="58" t="str">
        <f t="shared" si="16"/>
        <v/>
      </c>
      <c r="AC30" s="59" t="str">
        <f t="shared" si="17"/>
        <v/>
      </c>
      <c r="AD30" s="59" t="str">
        <f t="shared" si="18"/>
        <v/>
      </c>
      <c r="AF30" s="4"/>
      <c r="AG30" s="72"/>
      <c r="AH30" s="72"/>
      <c r="AI30" s="82" t="str">
        <f ca="1">Calculations!I36</f>
        <v>Groceries</v>
      </c>
      <c r="AJ30" s="83">
        <f ca="1">Calculations!J36</f>
        <v>900</v>
      </c>
      <c r="AK30" s="5"/>
      <c r="AM30" s="4"/>
      <c r="AN30" s="72"/>
      <c r="AO30" s="72"/>
      <c r="AP30" s="82" t="str">
        <f ca="1">Calculations!M36</f>
        <v>Retirement Account</v>
      </c>
      <c r="AQ30" s="83">
        <f ca="1">Calculations!N36</f>
        <v>800</v>
      </c>
      <c r="AR30" s="5"/>
    </row>
    <row r="31" spans="3:44" x14ac:dyDescent="0.25">
      <c r="C31" s="4" cm="1">
        <f t="array" ref="C31">IF(C30=-1,-1, IF(C30&lt;income_max_row, C30+1, IF(C30=income_max_row, income_total_row, IF(C30=income_total_row, "/1", IF(C30="/1", expenses_header_row, IF(C30&lt;expenses_max_row, C30+1, IF(C30=expenses_max_row, expenses_total_row, IF(C30=expenses_total_row, "/2", IF(C30="/2", savings_header_row, IF(C30&lt;savings_max_row, C30+1, IF(C30=savings_max_row, savings_total_row, -1)))))))))))</f>
        <v>38</v>
      </c>
      <c r="D31" s="5">
        <f t="shared" si="0"/>
        <v>38</v>
      </c>
      <c r="E31" s="4" cm="1">
        <f t="array" ref="E31">1*OR(row_id=income_header_row, row_id=expenses_header_row, row_id=savings_header_row)</f>
        <v>1</v>
      </c>
      <c r="F31">
        <f t="shared" si="1"/>
        <v>0</v>
      </c>
      <c r="G31" cm="1">
        <f t="array" ref="G31">1*OR(row_id=income_total_row, row_id=expenses_total_row, row_id=savings_total_row)</f>
        <v>0</v>
      </c>
      <c r="H31" s="5">
        <f t="shared" si="2"/>
        <v>0</v>
      </c>
      <c r="I31" s="4" t="str" cm="1">
        <f t="array" ref="I31">IFERROR(INDEX('Budget Planning'!$C:$C, header_row_id), "")</f>
        <v>Savings</v>
      </c>
      <c r="J31" t="str" cm="1">
        <f t="array" ref="J31">IFERROR(INDEX('Budget Planning'!$C:$C, row_id), "")</f>
        <v>Savings</v>
      </c>
      <c r="K31" s="52" t="str" cm="1">
        <f t="array" ref="K3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1" s="53" t="str" cm="1">
        <f t="array" ref="L31">IF(OR(is_header, is_empty), "", INDEX('Budget Planning'!$E:$EM, row_id, MATCH(IF(selected_period="Total Year", selected_year, DATE(selected_year, selected_period, 1)), 'Budget Planning'!$E$9:$EM$9, 0)))</f>
        <v/>
      </c>
      <c r="M31" s="50" t="str" cm="1">
        <f t="array" ref="M31">IF(is_category, IF(header_row_id=income_header_row, MATCH(income_min_row, $C:$C, 0), IF(header_row_id=expenses_header_row, MATCH(expenses_min_row, $C:$C, 0), IF(header_row_id=savings_header_row, MATCH(savings_min_row, $C:$C, 0), ""))), "")</f>
        <v/>
      </c>
      <c r="N31" s="51" t="str" cm="1">
        <f t="array" ref="N31">IF(is_category, IF(header_row_id=income_header_row, MATCH(income_max_row, $C:$C, 0), IF(header_row_id=expenses_header_row, MATCH(expenses_max_row, $C:$C, 0), IF(header_row_id=savings_header_row, MATCH(savings_max_row, $C:$C, 0), ""))), "")</f>
        <v/>
      </c>
      <c r="O31" s="50" t="str">
        <f t="shared" si="3"/>
        <v/>
      </c>
      <c r="P31" s="49" t="str">
        <f t="shared" ca="1" si="4"/>
        <v/>
      </c>
      <c r="Q31" s="49" t="str">
        <f t="shared" si="5"/>
        <v/>
      </c>
      <c r="R31" s="51" t="str">
        <f t="shared" ca="1" si="6"/>
        <v/>
      </c>
      <c r="S31" s="50" t="str">
        <f t="shared" si="7"/>
        <v/>
      </c>
      <c r="T31" s="49" t="str">
        <f t="shared" si="8"/>
        <v/>
      </c>
      <c r="U31" s="49" t="str">
        <f t="shared" ca="1" si="9"/>
        <v/>
      </c>
      <c r="V31" s="49" t="str">
        <f t="shared" si="10"/>
        <v/>
      </c>
      <c r="W31" s="47" t="str">
        <f t="shared" ca="1" si="11"/>
        <v/>
      </c>
      <c r="X31" s="56">
        <f t="shared" si="12"/>
        <v>38</v>
      </c>
      <c r="Y31" s="57" t="str">
        <f t="shared" ca="1" si="13"/>
        <v>Savings</v>
      </c>
      <c r="Z31" s="59" t="str">
        <f t="shared" si="14"/>
        <v>Tracked</v>
      </c>
      <c r="AA31" s="59" t="str">
        <f t="shared" si="15"/>
        <v>Budget</v>
      </c>
      <c r="AB31" s="58" t="str">
        <f t="shared" si="16"/>
        <v>% Compl.</v>
      </c>
      <c r="AC31" s="59" t="str">
        <f t="shared" si="17"/>
        <v>Remaining</v>
      </c>
      <c r="AD31" s="59" t="str">
        <f t="shared" si="18"/>
        <v>Excess</v>
      </c>
      <c r="AF31" s="4"/>
      <c r="AG31" s="72"/>
      <c r="AH31" s="72"/>
      <c r="AI31" s="82" t="str">
        <f ca="1">Calculations!I37</f>
        <v>Utilites</v>
      </c>
      <c r="AJ31" s="83">
        <f ca="1">Calculations!J37</f>
        <v>900</v>
      </c>
      <c r="AK31" s="5"/>
      <c r="AM31" s="4"/>
      <c r="AN31" s="72"/>
      <c r="AO31" s="72"/>
      <c r="AP31" s="82" t="str">
        <f ca="1">Calculations!M37</f>
        <v>Stock Portfolio</v>
      </c>
      <c r="AQ31" s="83">
        <f ca="1">Calculations!N37</f>
        <v>750</v>
      </c>
      <c r="AR31" s="5"/>
    </row>
    <row r="32" spans="3:44" x14ac:dyDescent="0.25">
      <c r="C32" s="4" cm="1">
        <f t="array" ref="C32">IF(C31=-1,-1, IF(C31&lt;income_max_row, C31+1, IF(C31=income_max_row, income_total_row, IF(C31=income_total_row, "/1", IF(C31="/1", expenses_header_row, IF(C31&lt;expenses_max_row, C31+1, IF(C31=expenses_max_row, expenses_total_row, IF(C31=expenses_total_row, "/2", IF(C31="/2", savings_header_row, IF(C31&lt;savings_max_row, C31+1, IF(C31=savings_max_row, savings_total_row, -1)))))))))))</f>
        <v>39</v>
      </c>
      <c r="D32" s="5">
        <f t="shared" si="0"/>
        <v>38</v>
      </c>
      <c r="E32" s="4" cm="1">
        <f t="array" ref="E32">1*OR(row_id=income_header_row, row_id=expenses_header_row, row_id=savings_header_row)</f>
        <v>0</v>
      </c>
      <c r="F32">
        <f t="shared" si="1"/>
        <v>1</v>
      </c>
      <c r="G32" cm="1">
        <f t="array" ref="G32">1*OR(row_id=income_total_row, row_id=expenses_total_row, row_id=savings_total_row)</f>
        <v>0</v>
      </c>
      <c r="H32" s="5">
        <f t="shared" si="2"/>
        <v>0</v>
      </c>
      <c r="I32" s="4" t="str" cm="1">
        <f t="array" ref="I32">IFERROR(INDEX('Budget Planning'!$C:$C, header_row_id), "")</f>
        <v>Savings</v>
      </c>
      <c r="J32" t="str" cm="1">
        <f t="array" ref="J32">IFERROR(INDEX('Budget Planning'!$C:$C, row_id), "")</f>
        <v>Emergency Fund</v>
      </c>
      <c r="K32" s="52" cm="1">
        <f t="array" aca="1" ref="K32"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1140</v>
      </c>
      <c r="L32" s="53" cm="1">
        <f t="array" aca="1" ref="L32" ca="1">IF(OR(is_header, is_empty), "", INDEX('Budget Planning'!$E:$EM, row_id, MATCH(IF(selected_period="Total Year", selected_year, DATE(selected_year, selected_period, 1)), 'Budget Planning'!$E$9:$EM$9, 0)))</f>
        <v>3000</v>
      </c>
      <c r="M32" s="50" cm="1">
        <f t="array" ref="M32">IF(is_category, IF(header_row_id=income_header_row, MATCH(income_min_row, $C:$C, 0), IF(header_row_id=expenses_header_row, MATCH(expenses_min_row, $C:$C, 0), IF(header_row_id=savings_header_row, MATCH(savings_min_row, $C:$C, 0), ""))), "")</f>
        <v>32</v>
      </c>
      <c r="N32" s="51" cm="1">
        <f t="array" ref="N32">IF(is_category, IF(header_row_id=income_header_row, MATCH(income_max_row, $C:$C, 0), IF(header_row_id=expenses_header_row, MATCH(expenses_max_row, $C:$C, 0), IF(header_row_id=savings_header_row, MATCH(savings_max_row, $C:$C, 0), ""))), "")</f>
        <v>36</v>
      </c>
      <c r="O32" s="50" t="str">
        <f t="shared" si="3"/>
        <v>$K$32:$K$36</v>
      </c>
      <c r="P32" s="49">
        <f t="shared" ca="1" si="4"/>
        <v>1</v>
      </c>
      <c r="Q32" s="49" t="str">
        <f t="shared" si="5"/>
        <v>$L$32:$L$36</v>
      </c>
      <c r="R32" s="51">
        <f t="shared" ca="1" si="6"/>
        <v>4</v>
      </c>
      <c r="S32" s="50">
        <f t="shared" ca="1" si="7"/>
        <v>14</v>
      </c>
      <c r="T32" s="49" t="str">
        <f t="shared" si="8"/>
        <v>$S$32:$S$36</v>
      </c>
      <c r="U32" s="49">
        <f t="shared" ca="1" si="9"/>
        <v>1</v>
      </c>
      <c r="V32" s="49" t="str">
        <f t="shared" si="10"/>
        <v>$U$32:$U$32</v>
      </c>
      <c r="W32" s="47">
        <f t="shared" ca="1" si="11"/>
        <v>1</v>
      </c>
      <c r="X32" s="56">
        <f t="shared" ca="1" si="12"/>
        <v>39</v>
      </c>
      <c r="Y32" s="57" t="str">
        <f t="shared" ca="1" si="13"/>
        <v>Emergency Fund</v>
      </c>
      <c r="Z32" s="59">
        <f t="shared" ca="1" si="14"/>
        <v>1140</v>
      </c>
      <c r="AA32" s="59">
        <f t="shared" ca="1" si="15"/>
        <v>3000</v>
      </c>
      <c r="AB32" s="58">
        <f t="shared" ca="1" si="16"/>
        <v>0.38</v>
      </c>
      <c r="AC32" s="59">
        <f t="shared" ca="1" si="17"/>
        <v>1860</v>
      </c>
      <c r="AD32" s="59">
        <f t="shared" ca="1" si="18"/>
        <v>0</v>
      </c>
      <c r="AF32" s="4"/>
      <c r="AG32" s="72"/>
      <c r="AH32" s="72"/>
      <c r="AI32" s="82" t="str">
        <f ca="1">Calculations!I38</f>
        <v>Fun &amp; Vacation</v>
      </c>
      <c r="AJ32" s="83">
        <f ca="1">Calculations!J38</f>
        <v>730</v>
      </c>
      <c r="AK32" s="5"/>
      <c r="AM32" s="4"/>
      <c r="AN32" s="72"/>
      <c r="AO32" s="72"/>
      <c r="AP32" s="82" t="str">
        <f ca="1">Calculations!M38</f>
        <v>Sinking Fund Rest</v>
      </c>
      <c r="AQ32" s="83">
        <f ca="1">Calculations!N38</f>
        <v>400</v>
      </c>
      <c r="AR32" s="5"/>
    </row>
    <row r="33" spans="3:44" x14ac:dyDescent="0.25">
      <c r="C33" s="4" cm="1">
        <f t="array" ref="C33">IF(C32=-1,-1, IF(C32&lt;income_max_row, C32+1, IF(C32=income_max_row, income_total_row, IF(C32=income_total_row, "/1", IF(C32="/1", expenses_header_row, IF(C32&lt;expenses_max_row, C32+1, IF(C32=expenses_max_row, expenses_total_row, IF(C32=expenses_total_row, "/2", IF(C32="/2", savings_header_row, IF(C32&lt;savings_max_row, C32+1, IF(C32=savings_max_row, savings_total_row, -1)))))))))))</f>
        <v>40</v>
      </c>
      <c r="D33" s="5">
        <f t="shared" si="0"/>
        <v>38</v>
      </c>
      <c r="E33" s="4" cm="1">
        <f t="array" ref="E33">1*OR(row_id=income_header_row, row_id=expenses_header_row, row_id=savings_header_row)</f>
        <v>0</v>
      </c>
      <c r="F33">
        <f t="shared" si="1"/>
        <v>1</v>
      </c>
      <c r="G33" cm="1">
        <f t="array" ref="G33">1*OR(row_id=income_total_row, row_id=expenses_total_row, row_id=savings_total_row)</f>
        <v>0</v>
      </c>
      <c r="H33" s="5">
        <f t="shared" si="2"/>
        <v>0</v>
      </c>
      <c r="I33" s="4" t="str" cm="1">
        <f t="array" ref="I33">IFERROR(INDEX('Budget Planning'!$C:$C, header_row_id), "")</f>
        <v>Savings</v>
      </c>
      <c r="J33" t="str" cm="1">
        <f t="array" ref="J33">IFERROR(INDEX('Budget Planning'!$C:$C, row_id), "")</f>
        <v>Retirement Account</v>
      </c>
      <c r="K33" s="52" cm="1">
        <f t="array" aca="1" ref="K33"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800</v>
      </c>
      <c r="L33" s="53" cm="1">
        <f t="array" aca="1" ref="L33" ca="1">IF(OR(is_header, is_empty), "", INDEX('Budget Planning'!$E:$EM, row_id, MATCH(IF(selected_period="Total Year", selected_year, DATE(selected_year, selected_period, 1)), 'Budget Planning'!$E$9:$EM$9, 0)))</f>
        <v>4800</v>
      </c>
      <c r="M33" s="50" cm="1">
        <f t="array" ref="M33">IF(is_category, IF(header_row_id=income_header_row, MATCH(income_min_row, $C:$C, 0), IF(header_row_id=expenses_header_row, MATCH(expenses_min_row, $C:$C, 0), IF(header_row_id=savings_header_row, MATCH(savings_min_row, $C:$C, 0), ""))), "")</f>
        <v>32</v>
      </c>
      <c r="N33" s="51" cm="1">
        <f t="array" ref="N33">IF(is_category, IF(header_row_id=income_header_row, MATCH(income_max_row, $C:$C, 0), IF(header_row_id=expenses_header_row, MATCH(expenses_max_row, $C:$C, 0), IF(header_row_id=savings_header_row, MATCH(savings_max_row, $C:$C, 0), ""))), "")</f>
        <v>36</v>
      </c>
      <c r="O33" s="50" t="str">
        <f t="shared" si="3"/>
        <v>$K$32:$K$36</v>
      </c>
      <c r="P33" s="49">
        <f t="shared" ca="1" si="4"/>
        <v>2</v>
      </c>
      <c r="Q33" s="49" t="str">
        <f t="shared" si="5"/>
        <v>$L$32:$L$36</v>
      </c>
      <c r="R33" s="51">
        <f t="shared" ca="1" si="6"/>
        <v>3</v>
      </c>
      <c r="S33" s="50">
        <f t="shared" ca="1" si="7"/>
        <v>23</v>
      </c>
      <c r="T33" s="49" t="str">
        <f t="shared" si="8"/>
        <v>$S$32:$S$36</v>
      </c>
      <c r="U33" s="49">
        <f t="shared" ca="1" si="9"/>
        <v>2</v>
      </c>
      <c r="V33" s="49" t="str">
        <f t="shared" si="10"/>
        <v>$U$32:$U$33</v>
      </c>
      <c r="W33" s="47">
        <f t="shared" ca="1" si="11"/>
        <v>2</v>
      </c>
      <c r="X33" s="56">
        <f t="shared" ca="1" si="12"/>
        <v>40</v>
      </c>
      <c r="Y33" s="57" t="str">
        <f t="shared" ca="1" si="13"/>
        <v>Retirement Account</v>
      </c>
      <c r="Z33" s="59">
        <f t="shared" ca="1" si="14"/>
        <v>800</v>
      </c>
      <c r="AA33" s="59">
        <f t="shared" ca="1" si="15"/>
        <v>4800</v>
      </c>
      <c r="AB33" s="58">
        <f t="shared" ca="1" si="16"/>
        <v>0.16666666666666666</v>
      </c>
      <c r="AC33" s="59">
        <f t="shared" ca="1" si="17"/>
        <v>4000</v>
      </c>
      <c r="AD33" s="59">
        <f t="shared" ca="1" si="18"/>
        <v>0</v>
      </c>
      <c r="AF33" s="4"/>
      <c r="AG33" s="72"/>
      <c r="AH33" s="72"/>
      <c r="AI33" s="82" t="str">
        <f ca="1">Calculations!I39</f>
        <v>Transportation</v>
      </c>
      <c r="AJ33" s="83">
        <f ca="1">Calculations!J39</f>
        <v>610</v>
      </c>
      <c r="AK33" s="5"/>
      <c r="AM33" s="4"/>
      <c r="AN33" s="72"/>
      <c r="AO33" s="72"/>
      <c r="AP33" s="82" t="str">
        <f ca="1">Calculations!M39</f>
        <v/>
      </c>
      <c r="AQ33" s="83" t="str">
        <f ca="1">Calculations!N39</f>
        <v/>
      </c>
      <c r="AR33" s="5"/>
    </row>
    <row r="34" spans="3:44" x14ac:dyDescent="0.25">
      <c r="C34" s="4" cm="1">
        <f t="array" ref="C34">IF(C33=-1,-1, IF(C33&lt;income_max_row, C33+1, IF(C33=income_max_row, income_total_row, IF(C33=income_total_row, "/1", IF(C33="/1", expenses_header_row, IF(C33&lt;expenses_max_row, C33+1, IF(C33=expenses_max_row, expenses_total_row, IF(C33=expenses_total_row, "/2", IF(C33="/2", savings_header_row, IF(C33&lt;savings_max_row, C33+1, IF(C33=savings_max_row, savings_total_row, -1)))))))))))</f>
        <v>41</v>
      </c>
      <c r="D34" s="5">
        <f t="shared" si="0"/>
        <v>38</v>
      </c>
      <c r="E34" s="4" cm="1">
        <f t="array" ref="E34">1*OR(row_id=income_header_row, row_id=expenses_header_row, row_id=savings_header_row)</f>
        <v>0</v>
      </c>
      <c r="F34">
        <f t="shared" si="1"/>
        <v>1</v>
      </c>
      <c r="G34" cm="1">
        <f t="array" ref="G34">1*OR(row_id=income_total_row, row_id=expenses_total_row, row_id=savings_total_row)</f>
        <v>0</v>
      </c>
      <c r="H34" s="5">
        <f t="shared" si="2"/>
        <v>0</v>
      </c>
      <c r="I34" s="4" t="str" cm="1">
        <f t="array" ref="I34">IFERROR(INDEX('Budget Planning'!$C:$C, header_row_id), "")</f>
        <v>Savings</v>
      </c>
      <c r="J34" t="str" cm="1">
        <f t="array" ref="J34">IFERROR(INDEX('Budget Planning'!$C:$C, row_id), "")</f>
        <v>Stock Portfolio</v>
      </c>
      <c r="K34" s="52" cm="1">
        <f t="array" aca="1" ref="K34"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750</v>
      </c>
      <c r="L34" s="53" cm="1">
        <f t="array" aca="1" ref="L34" ca="1">IF(OR(is_header, is_empty), "", INDEX('Budget Planning'!$E:$EM, row_id, MATCH(IF(selected_period="Total Year", selected_year, DATE(selected_year, selected_period, 1)), 'Budget Planning'!$E$9:$EM$9, 0)))</f>
        <v>7200</v>
      </c>
      <c r="M34" s="50" cm="1">
        <f t="array" ref="M34">IF(is_category, IF(header_row_id=income_header_row, MATCH(income_min_row, $C:$C, 0), IF(header_row_id=expenses_header_row, MATCH(expenses_min_row, $C:$C, 0), IF(header_row_id=savings_header_row, MATCH(savings_min_row, $C:$C, 0), ""))), "")</f>
        <v>32</v>
      </c>
      <c r="N34" s="51" cm="1">
        <f t="array" ref="N34">IF(is_category, IF(header_row_id=income_header_row, MATCH(income_max_row, $C:$C, 0), IF(header_row_id=expenses_header_row, MATCH(expenses_max_row, $C:$C, 0), IF(header_row_id=savings_header_row, MATCH(savings_max_row, $C:$C, 0), ""))), "")</f>
        <v>36</v>
      </c>
      <c r="O34" s="50" t="str">
        <f t="shared" si="3"/>
        <v>$K$32:$K$36</v>
      </c>
      <c r="P34" s="49">
        <f t="shared" ca="1" si="4"/>
        <v>3</v>
      </c>
      <c r="Q34" s="49" t="str">
        <f t="shared" si="5"/>
        <v>$L$32:$L$36</v>
      </c>
      <c r="R34" s="51">
        <f t="shared" ca="1" si="6"/>
        <v>2</v>
      </c>
      <c r="S34" s="50">
        <f t="shared" ca="1" si="7"/>
        <v>32</v>
      </c>
      <c r="T34" s="49" t="str">
        <f t="shared" si="8"/>
        <v>$S$32:$S$36</v>
      </c>
      <c r="U34" s="49">
        <f t="shared" ca="1" si="9"/>
        <v>3</v>
      </c>
      <c r="V34" s="49" t="str">
        <f t="shared" si="10"/>
        <v>$U$32:$U$34</v>
      </c>
      <c r="W34" s="47">
        <f t="shared" ca="1" si="11"/>
        <v>3</v>
      </c>
      <c r="X34" s="56">
        <f t="shared" ca="1" si="12"/>
        <v>41</v>
      </c>
      <c r="Y34" s="57" t="str">
        <f t="shared" ca="1" si="13"/>
        <v>Stock Portfolio</v>
      </c>
      <c r="Z34" s="59">
        <f t="shared" ca="1" si="14"/>
        <v>750</v>
      </c>
      <c r="AA34" s="59">
        <f t="shared" ca="1" si="15"/>
        <v>7200</v>
      </c>
      <c r="AB34" s="58">
        <f t="shared" ca="1" si="16"/>
        <v>0.10416666666666667</v>
      </c>
      <c r="AC34" s="59">
        <f t="shared" ca="1" si="17"/>
        <v>6450</v>
      </c>
      <c r="AD34" s="59">
        <f t="shared" ca="1" si="18"/>
        <v>0</v>
      </c>
      <c r="AF34" s="4"/>
      <c r="AG34" s="72"/>
      <c r="AH34" s="72"/>
      <c r="AI34" s="82" t="str">
        <f ca="1">Calculations!I40</f>
        <v>Other</v>
      </c>
      <c r="AJ34" s="83">
        <f ca="1">Calculations!J40</f>
        <v>1150</v>
      </c>
      <c r="AK34" s="5"/>
      <c r="AM34" s="4"/>
      <c r="AN34" s="72"/>
      <c r="AO34" s="72"/>
      <c r="AP34" s="82" t="str">
        <f ca="1">Calculations!M40</f>
        <v/>
      </c>
      <c r="AQ34" s="83" t="str">
        <f ca="1">Calculations!N40</f>
        <v/>
      </c>
      <c r="AR34" s="5"/>
    </row>
    <row r="35" spans="3:44" x14ac:dyDescent="0.25">
      <c r="C35" s="4" cm="1">
        <f t="array" ref="C35">IF(C34=-1,-1, IF(C34&lt;income_max_row, C34+1, IF(C34=income_max_row, income_total_row, IF(C34=income_total_row, "/1", IF(C34="/1", expenses_header_row, IF(C34&lt;expenses_max_row, C34+1, IF(C34=expenses_max_row, expenses_total_row, IF(C34=expenses_total_row, "/2", IF(C34="/2", savings_header_row, IF(C34&lt;savings_max_row, C34+1, IF(C34=savings_max_row, savings_total_row, -1)))))))))))</f>
        <v>42</v>
      </c>
      <c r="D35" s="5">
        <f t="shared" si="0"/>
        <v>38</v>
      </c>
      <c r="E35" s="4" cm="1">
        <f t="array" ref="E35">1*OR(row_id=income_header_row, row_id=expenses_header_row, row_id=savings_header_row)</f>
        <v>0</v>
      </c>
      <c r="F35">
        <f t="shared" si="1"/>
        <v>1</v>
      </c>
      <c r="G35" cm="1">
        <f t="array" ref="G35">1*OR(row_id=income_total_row, row_id=expenses_total_row, row_id=savings_total_row)</f>
        <v>0</v>
      </c>
      <c r="H35" s="5">
        <f t="shared" si="2"/>
        <v>0</v>
      </c>
      <c r="I35" s="4" t="str" cm="1">
        <f t="array" ref="I35">IFERROR(INDEX('Budget Planning'!$C:$C, header_row_id), "")</f>
        <v>Savings</v>
      </c>
      <c r="J35" t="str" cm="1">
        <f t="array" ref="J35">IFERROR(INDEX('Budget Planning'!$C:$C, row_id), "")</f>
        <v>Sinking Fund Down Payment</v>
      </c>
      <c r="K35" s="52" cm="1">
        <f t="array" aca="1" ref="K35"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0</v>
      </c>
      <c r="L35" s="53" cm="1">
        <f t="array" aca="1" ref="L35" ca="1">IF(OR(is_header, is_empty), "", INDEX('Budget Planning'!$E:$EM, row_id, MATCH(IF(selected_period="Total Year", selected_year, DATE(selected_year, selected_period, 1)), 'Budget Planning'!$E$9:$EM$9, 0)))</f>
        <v>10200</v>
      </c>
      <c r="M35" s="50" cm="1">
        <f t="array" ref="M35">IF(is_category, IF(header_row_id=income_header_row, MATCH(income_min_row, $C:$C, 0), IF(header_row_id=expenses_header_row, MATCH(expenses_min_row, $C:$C, 0), IF(header_row_id=savings_header_row, MATCH(savings_min_row, $C:$C, 0), ""))), "")</f>
        <v>32</v>
      </c>
      <c r="N35" s="51" cm="1">
        <f t="array" ref="N35">IF(is_category, IF(header_row_id=income_header_row, MATCH(income_max_row, $C:$C, 0), IF(header_row_id=expenses_header_row, MATCH(expenses_max_row, $C:$C, 0), IF(header_row_id=savings_header_row, MATCH(savings_max_row, $C:$C, 0), ""))), "")</f>
        <v>36</v>
      </c>
      <c r="O35" s="50" t="str">
        <f t="shared" si="3"/>
        <v>$K$32:$K$36</v>
      </c>
      <c r="P35" s="49">
        <f t="shared" ca="1" si="4"/>
        <v>5</v>
      </c>
      <c r="Q35" s="49" t="str">
        <f t="shared" si="5"/>
        <v>$L$32:$L$36</v>
      </c>
      <c r="R35" s="51">
        <f t="shared" ca="1" si="6"/>
        <v>1</v>
      </c>
      <c r="S35" s="50">
        <f t="shared" ca="1" si="7"/>
        <v>51</v>
      </c>
      <c r="T35" s="49" t="str">
        <f t="shared" si="8"/>
        <v>$S$32:$S$36</v>
      </c>
      <c r="U35" s="49">
        <f t="shared" ca="1" si="9"/>
        <v>5</v>
      </c>
      <c r="V35" s="49" t="str">
        <f t="shared" si="10"/>
        <v>$U$32:$U$35</v>
      </c>
      <c r="W35" s="47">
        <f t="shared" ca="1" si="11"/>
        <v>5</v>
      </c>
      <c r="X35" s="56">
        <f t="shared" ca="1" si="12"/>
        <v>43</v>
      </c>
      <c r="Y35" s="57" t="str">
        <f t="shared" ca="1" si="13"/>
        <v>Sinking Fund Rest</v>
      </c>
      <c r="Z35" s="59">
        <f t="shared" ca="1" si="14"/>
        <v>400</v>
      </c>
      <c r="AA35" s="59">
        <f t="shared" ca="1" si="15"/>
        <v>1200</v>
      </c>
      <c r="AB35" s="58">
        <f t="shared" ca="1" si="16"/>
        <v>0.33333333333333331</v>
      </c>
      <c r="AC35" s="59">
        <f t="shared" ca="1" si="17"/>
        <v>800</v>
      </c>
      <c r="AD35" s="59">
        <f t="shared" ca="1" si="18"/>
        <v>0</v>
      </c>
      <c r="AF35" s="4"/>
      <c r="AG35" s="72"/>
      <c r="AH35" s="72"/>
      <c r="AI35" s="84" t="str">
        <f>Calculations!I41</f>
        <v>Total</v>
      </c>
      <c r="AJ35" s="85">
        <f ca="1">Calculations!J41</f>
        <v>7890</v>
      </c>
      <c r="AK35" s="5"/>
      <c r="AM35" s="4"/>
      <c r="AN35" s="72"/>
      <c r="AO35" s="72"/>
      <c r="AP35" s="84" t="str">
        <f>Calculations!M41</f>
        <v>Total</v>
      </c>
      <c r="AQ35" s="85">
        <f ca="1">Calculations!N41</f>
        <v>3090</v>
      </c>
      <c r="AR35" s="5"/>
    </row>
    <row r="36" spans="3:44" x14ac:dyDescent="0.25">
      <c r="C36" s="4" cm="1">
        <f t="array" ref="C36">IF(C35=-1,-1, IF(C35&lt;income_max_row, C35+1, IF(C35=income_max_row, income_total_row, IF(C35=income_total_row, "/1", IF(C35="/1", expenses_header_row, IF(C35&lt;expenses_max_row, C35+1, IF(C35=expenses_max_row, expenses_total_row, IF(C35=expenses_total_row, "/2", IF(C35="/2", savings_header_row, IF(C35&lt;savings_max_row, C35+1, IF(C35=savings_max_row, savings_total_row, -1)))))))))))</f>
        <v>43</v>
      </c>
      <c r="D36" s="5">
        <f t="shared" si="0"/>
        <v>38</v>
      </c>
      <c r="E36" s="4" cm="1">
        <f t="array" ref="E36">1*OR(row_id=income_header_row, row_id=expenses_header_row, row_id=savings_header_row)</f>
        <v>0</v>
      </c>
      <c r="F36">
        <f t="shared" si="1"/>
        <v>1</v>
      </c>
      <c r="G36" cm="1">
        <f t="array" ref="G36">1*OR(row_id=income_total_row, row_id=expenses_total_row, row_id=savings_total_row)</f>
        <v>0</v>
      </c>
      <c r="H36" s="5">
        <f t="shared" si="2"/>
        <v>0</v>
      </c>
      <c r="I36" s="4" t="str" cm="1">
        <f t="array" ref="I36">IFERROR(INDEX('Budget Planning'!$C:$C, header_row_id), "")</f>
        <v>Savings</v>
      </c>
      <c r="J36" t="str" cm="1">
        <f t="array" ref="J36">IFERROR(INDEX('Budget Planning'!$C:$C, row_id), "")</f>
        <v>Sinking Fund Rest</v>
      </c>
      <c r="K36" s="52" cm="1">
        <f t="array" aca="1" ref="K36"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400</v>
      </c>
      <c r="L36" s="53" cm="1">
        <f t="array" aca="1" ref="L36" ca="1">IF(OR(is_header, is_empty), "", INDEX('Budget Planning'!$E:$EM, row_id, MATCH(IF(selected_period="Total Year", selected_year, DATE(selected_year, selected_period, 1)), 'Budget Planning'!$E$9:$EM$9, 0)))</f>
        <v>1200</v>
      </c>
      <c r="M36" s="50" cm="1">
        <f t="array" ref="M36">IF(is_category, IF(header_row_id=income_header_row, MATCH(income_min_row, $C:$C, 0), IF(header_row_id=expenses_header_row, MATCH(expenses_min_row, $C:$C, 0), IF(header_row_id=savings_header_row, MATCH(savings_min_row, $C:$C, 0), ""))), "")</f>
        <v>32</v>
      </c>
      <c r="N36" s="51" cm="1">
        <f t="array" ref="N36">IF(is_category, IF(header_row_id=income_header_row, MATCH(income_max_row, $C:$C, 0), IF(header_row_id=expenses_header_row, MATCH(expenses_max_row, $C:$C, 0), IF(header_row_id=savings_header_row, MATCH(savings_max_row, $C:$C, 0), ""))), "")</f>
        <v>36</v>
      </c>
      <c r="O36" s="50" t="str">
        <f t="shared" si="3"/>
        <v>$K$32:$K$36</v>
      </c>
      <c r="P36" s="49">
        <f t="shared" ca="1" si="4"/>
        <v>4</v>
      </c>
      <c r="Q36" s="49" t="str">
        <f t="shared" si="5"/>
        <v>$L$32:$L$36</v>
      </c>
      <c r="R36" s="51">
        <f t="shared" ca="1" si="6"/>
        <v>5</v>
      </c>
      <c r="S36" s="50">
        <f t="shared" ca="1" si="7"/>
        <v>45</v>
      </c>
      <c r="T36" s="49" t="str">
        <f t="shared" si="8"/>
        <v>$S$32:$S$36</v>
      </c>
      <c r="U36" s="49">
        <f t="shared" ca="1" si="9"/>
        <v>4</v>
      </c>
      <c r="V36" s="49" t="str">
        <f t="shared" si="10"/>
        <v>$U$32:$U$36</v>
      </c>
      <c r="W36" s="47">
        <f t="shared" ca="1" si="11"/>
        <v>4</v>
      </c>
      <c r="X36" s="56">
        <f t="shared" ca="1" si="12"/>
        <v>42</v>
      </c>
      <c r="Y36" s="57" t="str">
        <f t="shared" ca="1" si="13"/>
        <v>Sinking Fund Down Payment</v>
      </c>
      <c r="Z36" s="59">
        <f t="shared" ca="1" si="14"/>
        <v>0</v>
      </c>
      <c r="AA36" s="59">
        <f t="shared" ca="1" si="15"/>
        <v>10200</v>
      </c>
      <c r="AB36" s="58">
        <f t="shared" ca="1" si="16"/>
        <v>0</v>
      </c>
      <c r="AC36" s="59">
        <f t="shared" ca="1" si="17"/>
        <v>10200</v>
      </c>
      <c r="AD36" s="59">
        <f t="shared" ca="1" si="18"/>
        <v>0</v>
      </c>
      <c r="AF36" s="4"/>
      <c r="AG36" s="72"/>
      <c r="AH36" s="72"/>
      <c r="AI36" s="72"/>
      <c r="AJ36" s="72"/>
      <c r="AK36" s="5"/>
      <c r="AM36" s="4"/>
      <c r="AN36" s="72"/>
      <c r="AO36" s="72"/>
      <c r="AP36" s="72"/>
      <c r="AQ36" s="72"/>
      <c r="AR36" s="5"/>
    </row>
    <row r="37" spans="3:44" x14ac:dyDescent="0.25">
      <c r="C37" s="4" cm="1">
        <f t="array" ref="C37">IF(C36=-1,-1, IF(C36&lt;income_max_row, C36+1, IF(C36=income_max_row, income_total_row, IF(C36=income_total_row, "/1", IF(C36="/1", expenses_header_row, IF(C36&lt;expenses_max_row, C36+1, IF(C36=expenses_max_row, expenses_total_row, IF(C36=expenses_total_row, "/2", IF(C36="/2", savings_header_row, IF(C36&lt;savings_max_row, C36+1, IF(C36=savings_max_row, savings_total_row, -1)))))))))))</f>
        <v>49</v>
      </c>
      <c r="D37" s="5">
        <f t="shared" si="0"/>
        <v>38</v>
      </c>
      <c r="E37" s="4" cm="1">
        <f t="array" ref="E37">1*OR(row_id=income_header_row, row_id=expenses_header_row, row_id=savings_header_row)</f>
        <v>0</v>
      </c>
      <c r="F37">
        <f t="shared" si="1"/>
        <v>0</v>
      </c>
      <c r="G37" cm="1">
        <f t="array" ref="G37">1*OR(row_id=income_total_row, row_id=expenses_total_row, row_id=savings_total_row)</f>
        <v>1</v>
      </c>
      <c r="H37" s="5">
        <f t="shared" si="2"/>
        <v>0</v>
      </c>
      <c r="I37" s="4" t="str" cm="1">
        <f t="array" ref="I37">IFERROR(INDEX('Budget Planning'!$C:$C, header_row_id), "")</f>
        <v>Savings</v>
      </c>
      <c r="J37" t="str" cm="1">
        <f t="array" ref="J37">IFERROR(INDEX('Budget Planning'!$C:$C, row_id), "")</f>
        <v>Total</v>
      </c>
      <c r="K37" s="52" cm="1">
        <f t="array" aca="1" ref="K37" ca="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3090</v>
      </c>
      <c r="L37" s="53" cm="1">
        <f t="array" aca="1" ref="L37" ca="1">IF(OR(is_header, is_empty), "", INDEX('Budget Planning'!$E:$EM, row_id, MATCH(IF(selected_period="Total Year", selected_year, DATE(selected_year, selected_period, 1)), 'Budget Planning'!$E$9:$EM$9, 0)))</f>
        <v>26400</v>
      </c>
      <c r="M37" s="50" t="str" cm="1">
        <f t="array" ref="M37">IF(is_category, IF(header_row_id=income_header_row, MATCH(income_min_row, $C:$C, 0), IF(header_row_id=expenses_header_row, MATCH(expenses_min_row, $C:$C, 0), IF(header_row_id=savings_header_row, MATCH(savings_min_row, $C:$C, 0), ""))), "")</f>
        <v/>
      </c>
      <c r="N37" s="51" t="str" cm="1">
        <f t="array" ref="N37">IF(is_category, IF(header_row_id=income_header_row, MATCH(income_max_row, $C:$C, 0), IF(header_row_id=expenses_header_row, MATCH(expenses_max_row, $C:$C, 0), IF(header_row_id=savings_header_row, MATCH(savings_max_row, $C:$C, 0), ""))), "")</f>
        <v/>
      </c>
      <c r="O37" s="50" t="str">
        <f t="shared" si="3"/>
        <v/>
      </c>
      <c r="P37" s="49" t="str">
        <f t="shared" ca="1" si="4"/>
        <v/>
      </c>
      <c r="Q37" s="49" t="str">
        <f t="shared" si="5"/>
        <v/>
      </c>
      <c r="R37" s="51" t="str">
        <f t="shared" ca="1" si="6"/>
        <v/>
      </c>
      <c r="S37" s="50" t="str">
        <f t="shared" si="7"/>
        <v/>
      </c>
      <c r="T37" s="49" t="str">
        <f t="shared" si="8"/>
        <v/>
      </c>
      <c r="U37" s="49" t="str">
        <f t="shared" ca="1" si="9"/>
        <v/>
      </c>
      <c r="V37" s="49" t="str">
        <f t="shared" si="10"/>
        <v/>
      </c>
      <c r="W37" s="47" t="str">
        <f t="shared" ca="1" si="11"/>
        <v/>
      </c>
      <c r="X37" s="56">
        <f t="shared" si="12"/>
        <v>49</v>
      </c>
      <c r="Y37" s="57" t="str">
        <f t="shared" ca="1" si="13"/>
        <v>Total</v>
      </c>
      <c r="Z37" s="59">
        <f t="shared" ca="1" si="14"/>
        <v>3090</v>
      </c>
      <c r="AA37" s="59">
        <f t="shared" ca="1" si="15"/>
        <v>26400</v>
      </c>
      <c r="AB37" s="58">
        <f t="shared" ca="1" si="16"/>
        <v>0.11704545454545455</v>
      </c>
      <c r="AC37" s="59">
        <f t="shared" ca="1" si="17"/>
        <v>23310</v>
      </c>
      <c r="AD37" s="59">
        <f t="shared" ca="1" si="18"/>
        <v>0</v>
      </c>
      <c r="AF37" s="6"/>
      <c r="AG37" s="2"/>
      <c r="AH37" s="2"/>
      <c r="AI37" s="2"/>
      <c r="AJ37" s="2"/>
      <c r="AK37" s="7"/>
      <c r="AM37" s="6"/>
      <c r="AN37" s="2"/>
      <c r="AO37" s="2"/>
      <c r="AP37" s="2"/>
      <c r="AQ37" s="2"/>
      <c r="AR37" s="7"/>
    </row>
    <row r="38" spans="3:44" x14ac:dyDescent="0.25">
      <c r="C38" s="4" cm="1">
        <f t="array" ref="C38">IF(C37=-1,-1, IF(C37&lt;income_max_row, C37+1, IF(C37=income_max_row, income_total_row, IF(C37=income_total_row, "/1", IF(C37="/1", expenses_header_row, IF(C37&lt;expenses_max_row, C37+1, IF(C37=expenses_max_row, expenses_total_row, IF(C37=expenses_total_row, "/2", IF(C37="/2", savings_header_row, IF(C37&lt;savings_max_row, C37+1, IF(C37=savings_max_row, savings_total_row, -1)))))))))))</f>
        <v>-1</v>
      </c>
      <c r="D38" s="5">
        <f t="shared" si="0"/>
        <v>-1</v>
      </c>
      <c r="E38" s="4" cm="1">
        <f t="array" ref="E38">1*OR(row_id=income_header_row, row_id=expenses_header_row, row_id=savings_header_row)</f>
        <v>0</v>
      </c>
      <c r="F38">
        <f t="shared" si="1"/>
        <v>0</v>
      </c>
      <c r="G38" cm="1">
        <f t="array" ref="G38">1*OR(row_id=income_total_row, row_id=expenses_total_row, row_id=savings_total_row)</f>
        <v>0</v>
      </c>
      <c r="H38" s="5">
        <f t="shared" si="2"/>
        <v>1</v>
      </c>
      <c r="I38" s="4" t="str" cm="1">
        <f t="array" ref="I38">IFERROR(INDEX('Budget Planning'!$C:$C, header_row_id), "")</f>
        <v/>
      </c>
      <c r="J38" t="str" cm="1">
        <f t="array" ref="J38">IFERROR(INDEX('Budget Planning'!$C:$C, row_id), "")</f>
        <v/>
      </c>
      <c r="K38" s="52" t="str" cm="1">
        <f t="array" ref="K3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8" s="53" t="str" cm="1">
        <f t="array" ref="L38">IF(OR(is_header, is_empty), "", INDEX('Budget Planning'!$E:$EM, row_id, MATCH(IF(selected_period="Total Year", selected_year, DATE(selected_year, selected_period, 1)), 'Budget Planning'!$E$9:$EM$9, 0)))</f>
        <v/>
      </c>
      <c r="M38" s="50" t="str" cm="1">
        <f t="array" ref="M38">IF(is_category, IF(header_row_id=income_header_row, MATCH(income_min_row, $C:$C, 0), IF(header_row_id=expenses_header_row, MATCH(expenses_min_row, $C:$C, 0), IF(header_row_id=savings_header_row, MATCH(savings_min_row, $C:$C, 0), ""))), "")</f>
        <v/>
      </c>
      <c r="N38" s="51" t="str" cm="1">
        <f t="array" ref="N38">IF(is_category, IF(header_row_id=income_header_row, MATCH(income_max_row, $C:$C, 0), IF(header_row_id=expenses_header_row, MATCH(expenses_max_row, $C:$C, 0), IF(header_row_id=savings_header_row, MATCH(savings_max_row, $C:$C, 0), ""))), "")</f>
        <v/>
      </c>
      <c r="O38" s="50" t="str">
        <f t="shared" si="3"/>
        <v/>
      </c>
      <c r="P38" s="49" t="str">
        <f t="shared" ca="1" si="4"/>
        <v/>
      </c>
      <c r="Q38" s="49" t="str">
        <f t="shared" si="5"/>
        <v/>
      </c>
      <c r="R38" s="51" t="str">
        <f t="shared" ca="1" si="6"/>
        <v/>
      </c>
      <c r="S38" s="50" t="str">
        <f t="shared" si="7"/>
        <v/>
      </c>
      <c r="T38" s="49" t="str">
        <f t="shared" si="8"/>
        <v/>
      </c>
      <c r="U38" s="49" t="str">
        <f t="shared" ca="1" si="9"/>
        <v/>
      </c>
      <c r="V38" s="49" t="str">
        <f t="shared" si="10"/>
        <v/>
      </c>
      <c r="W38" s="47" t="str">
        <f t="shared" ca="1" si="11"/>
        <v/>
      </c>
      <c r="X38" s="56">
        <f t="shared" si="12"/>
        <v>-1</v>
      </c>
      <c r="Y38" s="57" t="str">
        <f t="shared" si="13"/>
        <v/>
      </c>
      <c r="Z38" s="59" t="str">
        <f t="shared" si="14"/>
        <v/>
      </c>
      <c r="AA38" s="59" t="str">
        <f t="shared" si="15"/>
        <v/>
      </c>
      <c r="AB38" s="58" t="str">
        <f t="shared" si="16"/>
        <v/>
      </c>
      <c r="AC38" s="59" t="str">
        <f t="shared" si="17"/>
        <v/>
      </c>
      <c r="AD38" s="59" t="str">
        <f t="shared" si="18"/>
        <v/>
      </c>
    </row>
    <row r="39" spans="3:44" x14ac:dyDescent="0.25">
      <c r="C39" s="4" cm="1">
        <f t="array" ref="C39">IF(C38=-1,-1, IF(C38&lt;income_max_row, C38+1, IF(C38=income_max_row, income_total_row, IF(C38=income_total_row, "/1", IF(C38="/1", expenses_header_row, IF(C38&lt;expenses_max_row, C38+1, IF(C38=expenses_max_row, expenses_total_row, IF(C38=expenses_total_row, "/2", IF(C38="/2", savings_header_row, IF(C38&lt;savings_max_row, C38+1, IF(C38=savings_max_row, savings_total_row, -1)))))))))))</f>
        <v>-1</v>
      </c>
      <c r="D39" s="5">
        <f t="shared" si="0"/>
        <v>-1</v>
      </c>
      <c r="E39" s="4" cm="1">
        <f t="array" ref="E39">1*OR(row_id=income_header_row, row_id=expenses_header_row, row_id=savings_header_row)</f>
        <v>0</v>
      </c>
      <c r="F39">
        <f t="shared" si="1"/>
        <v>0</v>
      </c>
      <c r="G39" cm="1">
        <f t="array" ref="G39">1*OR(row_id=income_total_row, row_id=expenses_total_row, row_id=savings_total_row)</f>
        <v>0</v>
      </c>
      <c r="H39" s="5">
        <f t="shared" si="2"/>
        <v>1</v>
      </c>
      <c r="I39" s="4" t="str" cm="1">
        <f t="array" ref="I39">IFERROR(INDEX('Budget Planning'!$C:$C, header_row_id), "")</f>
        <v/>
      </c>
      <c r="J39" t="str" cm="1">
        <f t="array" ref="J39">IFERROR(INDEX('Budget Planning'!$C:$C, row_id), "")</f>
        <v/>
      </c>
      <c r="K39" s="52" t="str" cm="1">
        <f t="array" ref="K3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9" s="53" t="str" cm="1">
        <f t="array" ref="L39">IF(OR(is_header, is_empty), "", INDEX('Budget Planning'!$E:$EM, row_id, MATCH(IF(selected_period="Total Year", selected_year, DATE(selected_year, selected_period, 1)), 'Budget Planning'!$E$9:$EM$9, 0)))</f>
        <v/>
      </c>
      <c r="M39" s="50" t="str" cm="1">
        <f t="array" ref="M39">IF(is_category, IF(header_row_id=income_header_row, MATCH(income_min_row, $C:$C, 0), IF(header_row_id=expenses_header_row, MATCH(expenses_min_row, $C:$C, 0), IF(header_row_id=savings_header_row, MATCH(savings_min_row, $C:$C, 0), ""))), "")</f>
        <v/>
      </c>
      <c r="N39" s="51" t="str" cm="1">
        <f t="array" ref="N39">IF(is_category, IF(header_row_id=income_header_row, MATCH(income_max_row, $C:$C, 0), IF(header_row_id=expenses_header_row, MATCH(expenses_max_row, $C:$C, 0), IF(header_row_id=savings_header_row, MATCH(savings_max_row, $C:$C, 0), ""))), "")</f>
        <v/>
      </c>
      <c r="O39" s="50" t="str">
        <f t="shared" si="3"/>
        <v/>
      </c>
      <c r="P39" s="49" t="str">
        <f t="shared" ca="1" si="4"/>
        <v/>
      </c>
      <c r="Q39" s="49" t="str">
        <f t="shared" si="5"/>
        <v/>
      </c>
      <c r="R39" s="51" t="str">
        <f t="shared" ca="1" si="6"/>
        <v/>
      </c>
      <c r="S39" s="50" t="str">
        <f t="shared" si="7"/>
        <v/>
      </c>
      <c r="T39" s="49" t="str">
        <f t="shared" si="8"/>
        <v/>
      </c>
      <c r="U39" s="49" t="str">
        <f t="shared" ca="1" si="9"/>
        <v/>
      </c>
      <c r="V39" s="49" t="str">
        <f t="shared" si="10"/>
        <v/>
      </c>
      <c r="W39" s="47" t="str">
        <f t="shared" ca="1" si="11"/>
        <v/>
      </c>
      <c r="X39" s="56">
        <f t="shared" si="12"/>
        <v>-1</v>
      </c>
      <c r="Y39" s="57" t="str">
        <f t="shared" si="13"/>
        <v/>
      </c>
      <c r="Z39" s="59" t="str">
        <f t="shared" si="14"/>
        <v/>
      </c>
      <c r="AA39" s="59" t="str">
        <f t="shared" si="15"/>
        <v/>
      </c>
      <c r="AB39" s="58" t="str">
        <f t="shared" si="16"/>
        <v/>
      </c>
      <c r="AC39" s="59" t="str">
        <f t="shared" si="17"/>
        <v/>
      </c>
      <c r="AD39" s="59" t="str">
        <f t="shared" si="18"/>
        <v/>
      </c>
    </row>
    <row r="40" spans="3:44" x14ac:dyDescent="0.25">
      <c r="C40" s="4" cm="1">
        <f t="array" ref="C40">IF(C39=-1,-1, IF(C39&lt;income_max_row, C39+1, IF(C39=income_max_row, income_total_row, IF(C39=income_total_row, "/1", IF(C39="/1", expenses_header_row, IF(C39&lt;expenses_max_row, C39+1, IF(C39=expenses_max_row, expenses_total_row, IF(C39=expenses_total_row, "/2", IF(C39="/2", savings_header_row, IF(C39&lt;savings_max_row, C39+1, IF(C39=savings_max_row, savings_total_row, -1)))))))))))</f>
        <v>-1</v>
      </c>
      <c r="D40" s="5">
        <f t="shared" si="0"/>
        <v>-1</v>
      </c>
      <c r="E40" s="4" cm="1">
        <f t="array" ref="E40">1*OR(row_id=income_header_row, row_id=expenses_header_row, row_id=savings_header_row)</f>
        <v>0</v>
      </c>
      <c r="F40">
        <f t="shared" si="1"/>
        <v>0</v>
      </c>
      <c r="G40" cm="1">
        <f t="array" ref="G40">1*OR(row_id=income_total_row, row_id=expenses_total_row, row_id=savings_total_row)</f>
        <v>0</v>
      </c>
      <c r="H40" s="5">
        <f t="shared" si="2"/>
        <v>1</v>
      </c>
      <c r="I40" s="4" t="str" cm="1">
        <f t="array" ref="I40">IFERROR(INDEX('Budget Planning'!$C:$C, header_row_id), "")</f>
        <v/>
      </c>
      <c r="J40" t="str" cm="1">
        <f t="array" ref="J40">IFERROR(INDEX('Budget Planning'!$C:$C, row_id), "")</f>
        <v/>
      </c>
      <c r="K40" s="52" t="str" cm="1">
        <f t="array" ref="K4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0" s="53" t="str" cm="1">
        <f t="array" ref="L40">IF(OR(is_header, is_empty), "", INDEX('Budget Planning'!$E:$EM, row_id, MATCH(IF(selected_period="Total Year", selected_year, DATE(selected_year, selected_period, 1)), 'Budget Planning'!$E$9:$EM$9, 0)))</f>
        <v/>
      </c>
      <c r="M40" s="50" t="str" cm="1">
        <f t="array" ref="M40">IF(is_category, IF(header_row_id=income_header_row, MATCH(income_min_row, $C:$C, 0), IF(header_row_id=expenses_header_row, MATCH(expenses_min_row, $C:$C, 0), IF(header_row_id=savings_header_row, MATCH(savings_min_row, $C:$C, 0), ""))), "")</f>
        <v/>
      </c>
      <c r="N40" s="51" t="str" cm="1">
        <f t="array" ref="N40">IF(is_category, IF(header_row_id=income_header_row, MATCH(income_max_row, $C:$C, 0), IF(header_row_id=expenses_header_row, MATCH(expenses_max_row, $C:$C, 0), IF(header_row_id=savings_header_row, MATCH(savings_max_row, $C:$C, 0), ""))), "")</f>
        <v/>
      </c>
      <c r="O40" s="50" t="str">
        <f t="shared" si="3"/>
        <v/>
      </c>
      <c r="P40" s="49" t="str">
        <f t="shared" ca="1" si="4"/>
        <v/>
      </c>
      <c r="Q40" s="49" t="str">
        <f t="shared" si="5"/>
        <v/>
      </c>
      <c r="R40" s="51" t="str">
        <f t="shared" ca="1" si="6"/>
        <v/>
      </c>
      <c r="S40" s="50" t="str">
        <f t="shared" si="7"/>
        <v/>
      </c>
      <c r="T40" s="49" t="str">
        <f t="shared" si="8"/>
        <v/>
      </c>
      <c r="U40" s="49" t="str">
        <f t="shared" ca="1" si="9"/>
        <v/>
      </c>
      <c r="V40" s="49" t="str">
        <f t="shared" si="10"/>
        <v/>
      </c>
      <c r="W40" s="47" t="str">
        <f t="shared" ca="1" si="11"/>
        <v/>
      </c>
      <c r="X40" s="56">
        <f t="shared" si="12"/>
        <v>-1</v>
      </c>
      <c r="Y40" s="57" t="str">
        <f t="shared" si="13"/>
        <v/>
      </c>
      <c r="Z40" s="59" t="str">
        <f t="shared" si="14"/>
        <v/>
      </c>
      <c r="AA40" s="59" t="str">
        <f t="shared" si="15"/>
        <v/>
      </c>
      <c r="AB40" s="58" t="str">
        <f t="shared" si="16"/>
        <v/>
      </c>
      <c r="AC40" s="59" t="str">
        <f t="shared" si="17"/>
        <v/>
      </c>
      <c r="AD40" s="59" t="str">
        <f t="shared" si="18"/>
        <v/>
      </c>
    </row>
    <row r="41" spans="3:44" x14ac:dyDescent="0.25">
      <c r="C41" s="4" cm="1">
        <f t="array" ref="C41">IF(C40=-1,-1, IF(C40&lt;income_max_row, C40+1, IF(C40=income_max_row, income_total_row, IF(C40=income_total_row, "/1", IF(C40="/1", expenses_header_row, IF(C40&lt;expenses_max_row, C40+1, IF(C40=expenses_max_row, expenses_total_row, IF(C40=expenses_total_row, "/2", IF(C40="/2", savings_header_row, IF(C40&lt;savings_max_row, C40+1, IF(C40=savings_max_row, savings_total_row, -1)))))))))))</f>
        <v>-1</v>
      </c>
      <c r="D41" s="5">
        <f t="shared" si="0"/>
        <v>-1</v>
      </c>
      <c r="E41" s="4" cm="1">
        <f t="array" ref="E41">1*OR(row_id=income_header_row, row_id=expenses_header_row, row_id=savings_header_row)</f>
        <v>0</v>
      </c>
      <c r="F41">
        <f t="shared" si="1"/>
        <v>0</v>
      </c>
      <c r="G41" cm="1">
        <f t="array" ref="G41">1*OR(row_id=income_total_row, row_id=expenses_total_row, row_id=savings_total_row)</f>
        <v>0</v>
      </c>
      <c r="H41" s="5">
        <f t="shared" si="2"/>
        <v>1</v>
      </c>
      <c r="I41" s="4" t="str" cm="1">
        <f t="array" ref="I41">IFERROR(INDEX('Budget Planning'!$C:$C, header_row_id), "")</f>
        <v/>
      </c>
      <c r="J41" t="str" cm="1">
        <f t="array" ref="J41">IFERROR(INDEX('Budget Planning'!$C:$C, row_id), "")</f>
        <v/>
      </c>
      <c r="K41" s="52" t="str" cm="1">
        <f t="array" ref="K4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1" s="53" t="str" cm="1">
        <f t="array" ref="L41">IF(OR(is_header, is_empty), "", INDEX('Budget Planning'!$E:$EM, row_id, MATCH(IF(selected_period="Total Year", selected_year, DATE(selected_year, selected_period, 1)), 'Budget Planning'!$E$9:$EM$9, 0)))</f>
        <v/>
      </c>
      <c r="M41" s="50" t="str" cm="1">
        <f t="array" ref="M41">IF(is_category, IF(header_row_id=income_header_row, MATCH(income_min_row, $C:$C, 0), IF(header_row_id=expenses_header_row, MATCH(expenses_min_row, $C:$C, 0), IF(header_row_id=savings_header_row, MATCH(savings_min_row, $C:$C, 0), ""))), "")</f>
        <v/>
      </c>
      <c r="N41" s="51" t="str" cm="1">
        <f t="array" ref="N41">IF(is_category, IF(header_row_id=income_header_row, MATCH(income_max_row, $C:$C, 0), IF(header_row_id=expenses_header_row, MATCH(expenses_max_row, $C:$C, 0), IF(header_row_id=savings_header_row, MATCH(savings_max_row, $C:$C, 0), ""))), "")</f>
        <v/>
      </c>
      <c r="O41" s="50" t="str">
        <f t="shared" si="3"/>
        <v/>
      </c>
      <c r="P41" s="49" t="str">
        <f t="shared" ca="1" si="4"/>
        <v/>
      </c>
      <c r="Q41" s="49" t="str">
        <f t="shared" si="5"/>
        <v/>
      </c>
      <c r="R41" s="51" t="str">
        <f t="shared" ca="1" si="6"/>
        <v/>
      </c>
      <c r="S41" s="50" t="str">
        <f t="shared" si="7"/>
        <v/>
      </c>
      <c r="T41" s="49" t="str">
        <f t="shared" si="8"/>
        <v/>
      </c>
      <c r="U41" s="49" t="str">
        <f t="shared" ca="1" si="9"/>
        <v/>
      </c>
      <c r="V41" s="49" t="str">
        <f t="shared" si="10"/>
        <v/>
      </c>
      <c r="W41" s="47" t="str">
        <f t="shared" ca="1" si="11"/>
        <v/>
      </c>
      <c r="X41" s="56">
        <f t="shared" si="12"/>
        <v>-1</v>
      </c>
      <c r="Y41" s="57" t="str">
        <f t="shared" si="13"/>
        <v/>
      </c>
      <c r="Z41" s="59" t="str">
        <f t="shared" si="14"/>
        <v/>
      </c>
      <c r="AA41" s="59" t="str">
        <f t="shared" si="15"/>
        <v/>
      </c>
      <c r="AB41" s="58" t="str">
        <f t="shared" si="16"/>
        <v/>
      </c>
      <c r="AC41" s="59" t="str">
        <f t="shared" si="17"/>
        <v/>
      </c>
      <c r="AD41" s="59" t="str">
        <f t="shared" si="18"/>
        <v/>
      </c>
    </row>
    <row r="42" spans="3:44" x14ac:dyDescent="0.25">
      <c r="C42" s="4" cm="1">
        <f t="array" ref="C42">IF(C41=-1,-1, IF(C41&lt;income_max_row, C41+1, IF(C41=income_max_row, income_total_row, IF(C41=income_total_row, "/1", IF(C41="/1", expenses_header_row, IF(C41&lt;expenses_max_row, C41+1, IF(C41=expenses_max_row, expenses_total_row, IF(C41=expenses_total_row, "/2", IF(C41="/2", savings_header_row, IF(C41&lt;savings_max_row, C41+1, IF(C41=savings_max_row, savings_total_row, -1)))))))))))</f>
        <v>-1</v>
      </c>
      <c r="D42" s="5">
        <f t="shared" si="0"/>
        <v>-1</v>
      </c>
      <c r="E42" s="4" cm="1">
        <f t="array" ref="E42">1*OR(row_id=income_header_row, row_id=expenses_header_row, row_id=savings_header_row)</f>
        <v>0</v>
      </c>
      <c r="F42">
        <f t="shared" si="1"/>
        <v>0</v>
      </c>
      <c r="G42" cm="1">
        <f t="array" ref="G42">1*OR(row_id=income_total_row, row_id=expenses_total_row, row_id=savings_total_row)</f>
        <v>0</v>
      </c>
      <c r="H42" s="5">
        <f t="shared" si="2"/>
        <v>1</v>
      </c>
      <c r="I42" s="4" t="str" cm="1">
        <f t="array" ref="I42">IFERROR(INDEX('Budget Planning'!$C:$C, header_row_id), "")</f>
        <v/>
      </c>
      <c r="J42" t="str" cm="1">
        <f t="array" ref="J42">IFERROR(INDEX('Budget Planning'!$C:$C, row_id), "")</f>
        <v/>
      </c>
      <c r="K42" s="52" t="str" cm="1">
        <f t="array" ref="K4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2" s="53" t="str" cm="1">
        <f t="array" ref="L42">IF(OR(is_header, is_empty), "", INDEX('Budget Planning'!$E:$EM, row_id, MATCH(IF(selected_period="Total Year", selected_year, DATE(selected_year, selected_period, 1)), 'Budget Planning'!$E$9:$EM$9, 0)))</f>
        <v/>
      </c>
      <c r="M42" s="50" t="str" cm="1">
        <f t="array" ref="M42">IF(is_category, IF(header_row_id=income_header_row, MATCH(income_min_row, $C:$C, 0), IF(header_row_id=expenses_header_row, MATCH(expenses_min_row, $C:$C, 0), IF(header_row_id=savings_header_row, MATCH(savings_min_row, $C:$C, 0), ""))), "")</f>
        <v/>
      </c>
      <c r="N42" s="51" t="str" cm="1">
        <f t="array" ref="N42">IF(is_category, IF(header_row_id=income_header_row, MATCH(income_max_row, $C:$C, 0), IF(header_row_id=expenses_header_row, MATCH(expenses_max_row, $C:$C, 0), IF(header_row_id=savings_header_row, MATCH(savings_max_row, $C:$C, 0), ""))), "")</f>
        <v/>
      </c>
      <c r="O42" s="50" t="str">
        <f t="shared" si="3"/>
        <v/>
      </c>
      <c r="P42" s="49" t="str">
        <f t="shared" ca="1" si="4"/>
        <v/>
      </c>
      <c r="Q42" s="49" t="str">
        <f t="shared" si="5"/>
        <v/>
      </c>
      <c r="R42" s="51" t="str">
        <f t="shared" ca="1" si="6"/>
        <v/>
      </c>
      <c r="S42" s="50" t="str">
        <f t="shared" si="7"/>
        <v/>
      </c>
      <c r="T42" s="49" t="str">
        <f t="shared" si="8"/>
        <v/>
      </c>
      <c r="U42" s="49" t="str">
        <f t="shared" ca="1" si="9"/>
        <v/>
      </c>
      <c r="V42" s="49" t="str">
        <f t="shared" si="10"/>
        <v/>
      </c>
      <c r="W42" s="47" t="str">
        <f t="shared" ca="1" si="11"/>
        <v/>
      </c>
      <c r="X42" s="56">
        <f t="shared" si="12"/>
        <v>-1</v>
      </c>
      <c r="Y42" s="57" t="str">
        <f t="shared" si="13"/>
        <v/>
      </c>
      <c r="Z42" s="59" t="str">
        <f t="shared" si="14"/>
        <v/>
      </c>
      <c r="AA42" s="59" t="str">
        <f t="shared" si="15"/>
        <v/>
      </c>
      <c r="AB42" s="58" t="str">
        <f t="shared" si="16"/>
        <v/>
      </c>
      <c r="AC42" s="59" t="str">
        <f t="shared" si="17"/>
        <v/>
      </c>
      <c r="AD42" s="59" t="str">
        <f t="shared" si="18"/>
        <v/>
      </c>
    </row>
    <row r="43" spans="3:44" x14ac:dyDescent="0.25">
      <c r="C43" s="4" cm="1">
        <f t="array" ref="C43">IF(C42=-1,-1, IF(C42&lt;income_max_row, C42+1, IF(C42=income_max_row, income_total_row, IF(C42=income_total_row, "/1", IF(C42="/1", expenses_header_row, IF(C42&lt;expenses_max_row, C42+1, IF(C42=expenses_max_row, expenses_total_row, IF(C42=expenses_total_row, "/2", IF(C42="/2", savings_header_row, IF(C42&lt;savings_max_row, C42+1, IF(C42=savings_max_row, savings_total_row, -1)))))))))))</f>
        <v>-1</v>
      </c>
      <c r="D43" s="5">
        <f t="shared" si="0"/>
        <v>-1</v>
      </c>
      <c r="E43" s="4" cm="1">
        <f t="array" ref="E43">1*OR(row_id=income_header_row, row_id=expenses_header_row, row_id=savings_header_row)</f>
        <v>0</v>
      </c>
      <c r="F43">
        <f t="shared" si="1"/>
        <v>0</v>
      </c>
      <c r="G43" cm="1">
        <f t="array" ref="G43">1*OR(row_id=income_total_row, row_id=expenses_total_row, row_id=savings_total_row)</f>
        <v>0</v>
      </c>
      <c r="H43" s="5">
        <f t="shared" si="2"/>
        <v>1</v>
      </c>
      <c r="I43" s="4" t="str" cm="1">
        <f t="array" ref="I43">IFERROR(INDEX('Budget Planning'!$C:$C, header_row_id), "")</f>
        <v/>
      </c>
      <c r="J43" t="str" cm="1">
        <f t="array" ref="J43">IFERROR(INDEX('Budget Planning'!$C:$C, row_id), "")</f>
        <v/>
      </c>
      <c r="K43" s="52" t="str" cm="1">
        <f t="array" ref="K4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3" s="53" t="str" cm="1">
        <f t="array" ref="L43">IF(OR(is_header, is_empty), "", INDEX('Budget Planning'!$E:$EM, row_id, MATCH(IF(selected_period="Total Year", selected_year, DATE(selected_year, selected_period, 1)), 'Budget Planning'!$E$9:$EM$9, 0)))</f>
        <v/>
      </c>
      <c r="M43" s="50" t="str" cm="1">
        <f t="array" ref="M43">IF(is_category, IF(header_row_id=income_header_row, MATCH(income_min_row, $C:$C, 0), IF(header_row_id=expenses_header_row, MATCH(expenses_min_row, $C:$C, 0), IF(header_row_id=savings_header_row, MATCH(savings_min_row, $C:$C, 0), ""))), "")</f>
        <v/>
      </c>
      <c r="N43" s="51" t="str" cm="1">
        <f t="array" ref="N43">IF(is_category, IF(header_row_id=income_header_row, MATCH(income_max_row, $C:$C, 0), IF(header_row_id=expenses_header_row, MATCH(expenses_max_row, $C:$C, 0), IF(header_row_id=savings_header_row, MATCH(savings_max_row, $C:$C, 0), ""))), "")</f>
        <v/>
      </c>
      <c r="O43" s="50" t="str">
        <f t="shared" si="3"/>
        <v/>
      </c>
      <c r="P43" s="49" t="str">
        <f t="shared" ca="1" si="4"/>
        <v/>
      </c>
      <c r="Q43" s="49" t="str">
        <f t="shared" si="5"/>
        <v/>
      </c>
      <c r="R43" s="51" t="str">
        <f t="shared" ca="1" si="6"/>
        <v/>
      </c>
      <c r="S43" s="50" t="str">
        <f t="shared" si="7"/>
        <v/>
      </c>
      <c r="T43" s="49" t="str">
        <f t="shared" si="8"/>
        <v/>
      </c>
      <c r="U43" s="49" t="str">
        <f t="shared" ca="1" si="9"/>
        <v/>
      </c>
      <c r="V43" s="49" t="str">
        <f t="shared" si="10"/>
        <v/>
      </c>
      <c r="W43" s="47" t="str">
        <f t="shared" ca="1" si="11"/>
        <v/>
      </c>
      <c r="X43" s="56">
        <f t="shared" si="12"/>
        <v>-1</v>
      </c>
      <c r="Y43" s="57" t="str">
        <f t="shared" si="13"/>
        <v/>
      </c>
      <c r="Z43" s="59" t="str">
        <f t="shared" si="14"/>
        <v/>
      </c>
      <c r="AA43" s="59" t="str">
        <f t="shared" si="15"/>
        <v/>
      </c>
      <c r="AB43" s="58" t="str">
        <f t="shared" si="16"/>
        <v/>
      </c>
      <c r="AC43" s="59" t="str">
        <f t="shared" si="17"/>
        <v/>
      </c>
      <c r="AD43" s="59" t="str">
        <f t="shared" si="18"/>
        <v/>
      </c>
    </row>
    <row r="44" spans="3:44" x14ac:dyDescent="0.25">
      <c r="C44" s="4" cm="1">
        <f t="array" ref="C44">IF(C43=-1,-1, IF(C43&lt;income_max_row, C43+1, IF(C43=income_max_row, income_total_row, IF(C43=income_total_row, "/1", IF(C43="/1", expenses_header_row, IF(C43&lt;expenses_max_row, C43+1, IF(C43=expenses_max_row, expenses_total_row, IF(C43=expenses_total_row, "/2", IF(C43="/2", savings_header_row, IF(C43&lt;savings_max_row, C43+1, IF(C43=savings_max_row, savings_total_row, -1)))))))))))</f>
        <v>-1</v>
      </c>
      <c r="D44" s="5">
        <f t="shared" si="0"/>
        <v>-1</v>
      </c>
      <c r="E44" s="4" cm="1">
        <f t="array" ref="E44">1*OR(row_id=income_header_row, row_id=expenses_header_row, row_id=savings_header_row)</f>
        <v>0</v>
      </c>
      <c r="F44">
        <f t="shared" si="1"/>
        <v>0</v>
      </c>
      <c r="G44" cm="1">
        <f t="array" ref="G44">1*OR(row_id=income_total_row, row_id=expenses_total_row, row_id=savings_total_row)</f>
        <v>0</v>
      </c>
      <c r="H44" s="5">
        <f t="shared" si="2"/>
        <v>1</v>
      </c>
      <c r="I44" s="4" t="str" cm="1">
        <f t="array" ref="I44">IFERROR(INDEX('Budget Planning'!$C:$C, header_row_id), "")</f>
        <v/>
      </c>
      <c r="J44" t="str" cm="1">
        <f t="array" ref="J44">IFERROR(INDEX('Budget Planning'!$C:$C, row_id), "")</f>
        <v/>
      </c>
      <c r="K44" s="52" t="str" cm="1">
        <f t="array" ref="K4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4" s="53" t="str" cm="1">
        <f t="array" ref="L44">IF(OR(is_header, is_empty), "", INDEX('Budget Planning'!$E:$EM, row_id, MATCH(IF(selected_period="Total Year", selected_year, DATE(selected_year, selected_period, 1)), 'Budget Planning'!$E$9:$EM$9, 0)))</f>
        <v/>
      </c>
      <c r="M44" s="50" t="str" cm="1">
        <f t="array" ref="M44">IF(is_category, IF(header_row_id=income_header_row, MATCH(income_min_row, $C:$C, 0), IF(header_row_id=expenses_header_row, MATCH(expenses_min_row, $C:$C, 0), IF(header_row_id=savings_header_row, MATCH(savings_min_row, $C:$C, 0), ""))), "")</f>
        <v/>
      </c>
      <c r="N44" s="51" t="str" cm="1">
        <f t="array" ref="N44">IF(is_category, IF(header_row_id=income_header_row, MATCH(income_max_row, $C:$C, 0), IF(header_row_id=expenses_header_row, MATCH(expenses_max_row, $C:$C, 0), IF(header_row_id=savings_header_row, MATCH(savings_max_row, $C:$C, 0), ""))), "")</f>
        <v/>
      </c>
      <c r="O44" s="50" t="str">
        <f t="shared" si="3"/>
        <v/>
      </c>
      <c r="P44" s="49" t="str">
        <f t="shared" ca="1" si="4"/>
        <v/>
      </c>
      <c r="Q44" s="49" t="str">
        <f t="shared" si="5"/>
        <v/>
      </c>
      <c r="R44" s="51" t="str">
        <f t="shared" ca="1" si="6"/>
        <v/>
      </c>
      <c r="S44" s="50" t="str">
        <f t="shared" si="7"/>
        <v/>
      </c>
      <c r="T44" s="49" t="str">
        <f t="shared" si="8"/>
        <v/>
      </c>
      <c r="U44" s="49" t="str">
        <f t="shared" ca="1" si="9"/>
        <v/>
      </c>
      <c r="V44" s="49" t="str">
        <f t="shared" si="10"/>
        <v/>
      </c>
      <c r="W44" s="47" t="str">
        <f t="shared" ca="1" si="11"/>
        <v/>
      </c>
      <c r="X44" s="56">
        <f t="shared" si="12"/>
        <v>-1</v>
      </c>
      <c r="Y44" s="57" t="str">
        <f t="shared" si="13"/>
        <v/>
      </c>
      <c r="Z44" s="59" t="str">
        <f t="shared" si="14"/>
        <v/>
      </c>
      <c r="AA44" s="59" t="str">
        <f t="shared" si="15"/>
        <v/>
      </c>
      <c r="AB44" s="58" t="str">
        <f t="shared" si="16"/>
        <v/>
      </c>
      <c r="AC44" s="59" t="str">
        <f t="shared" si="17"/>
        <v/>
      </c>
      <c r="AD44" s="59" t="str">
        <f t="shared" si="18"/>
        <v/>
      </c>
    </row>
    <row r="45" spans="3:44" x14ac:dyDescent="0.25">
      <c r="C45" s="4" cm="1">
        <f t="array" ref="C45">IF(C44=-1,-1, IF(C44&lt;income_max_row, C44+1, IF(C44=income_max_row, income_total_row, IF(C44=income_total_row, "/1", IF(C44="/1", expenses_header_row, IF(C44&lt;expenses_max_row, C44+1, IF(C44=expenses_max_row, expenses_total_row, IF(C44=expenses_total_row, "/2", IF(C44="/2", savings_header_row, IF(C44&lt;savings_max_row, C44+1, IF(C44=savings_max_row, savings_total_row, -1)))))))))))</f>
        <v>-1</v>
      </c>
      <c r="D45" s="5">
        <f t="shared" ref="D45:D76" si="19">IF(is_header, row_id, IF(NOT(is_empty), D44, -1))</f>
        <v>-1</v>
      </c>
      <c r="E45" s="4" cm="1">
        <f t="array" ref="E45">1*OR(row_id=income_header_row, row_id=expenses_header_row, row_id=savings_header_row)</f>
        <v>0</v>
      </c>
      <c r="F45">
        <f t="shared" ref="F45:F76" si="20">1*NOT(OR(is_header, is_total, is_empty))</f>
        <v>0</v>
      </c>
      <c r="G45" cm="1">
        <f t="array" ref="G45">1*OR(row_id=income_total_row, row_id=expenses_total_row, row_id=savings_total_row)</f>
        <v>0</v>
      </c>
      <c r="H45" s="5">
        <f t="shared" ref="H45:H76" si="21">1*OR(row_id="/1", row_id="/2", row_id=-1)</f>
        <v>1</v>
      </c>
      <c r="I45" s="4" t="str" cm="1">
        <f t="array" ref="I45">IFERROR(INDEX('Budget Planning'!$C:$C, header_row_id), "")</f>
        <v/>
      </c>
      <c r="J45" t="str" cm="1">
        <f t="array" ref="J45">IFERROR(INDEX('Budget Planning'!$C:$C, row_id), "")</f>
        <v/>
      </c>
      <c r="K45" s="52" t="str" cm="1">
        <f t="array" ref="K4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5" s="53" t="str" cm="1">
        <f t="array" ref="L45">IF(OR(is_header, is_empty), "", INDEX('Budget Planning'!$E:$EM, row_id, MATCH(IF(selected_period="Total Year", selected_year, DATE(selected_year, selected_period, 1)), 'Budget Planning'!$E$9:$EM$9, 0)))</f>
        <v/>
      </c>
      <c r="M45" s="50" t="str" cm="1">
        <f t="array" ref="M45">IF(is_category, IF(header_row_id=income_header_row, MATCH(income_min_row, $C:$C, 0), IF(header_row_id=expenses_header_row, MATCH(expenses_min_row, $C:$C, 0), IF(header_row_id=savings_header_row, MATCH(savings_min_row, $C:$C, 0), ""))), "")</f>
        <v/>
      </c>
      <c r="N45" s="51" t="str" cm="1">
        <f t="array" ref="N45">IF(is_category, IF(header_row_id=income_header_row, MATCH(income_max_row, $C:$C, 0), IF(header_row_id=expenses_header_row, MATCH(expenses_max_row, $C:$C, 0), IF(header_row_id=savings_header_row, MATCH(savings_max_row, $C:$C, 0), ""))), "")</f>
        <v/>
      </c>
      <c r="O45" s="50" t="str">
        <f t="shared" ref="O45:O76" si="22">IF(is_category, ADDRESS(sort_min_row, COLUMN(tracked)) &amp; ":" &amp; ADDRESS(sort_max_row, COLUMN(tracked)), "")</f>
        <v/>
      </c>
      <c r="P45" s="49" t="str">
        <f t="shared" ref="P45:P76" ca="1" si="23">IF(is_category, RANK(tracked, INDIRECT(tracked_range), 0), "")</f>
        <v/>
      </c>
      <c r="Q45" s="49" t="str">
        <f t="shared" ref="Q45:Q76" si="24">IF(is_category, ADDRESS(sort_min_row, COLUMN(budget)) &amp; ":" &amp; ADDRESS(sort_max_row, COLUMN(budget)), "")</f>
        <v/>
      </c>
      <c r="R45" s="51" t="str">
        <f t="shared" ref="R45:R76" ca="1" si="25">IF(is_category, RANK(budget, INDIRECT(budget_range), 0), "")</f>
        <v/>
      </c>
      <c r="S45" s="50" t="str">
        <f t="shared" ref="S45:S76" si="26">IF(is_category, _xlfn.NUMBERVALUE(tracker_rank &amp; budget_rank), "")</f>
        <v/>
      </c>
      <c r="T45" s="49" t="str">
        <f t="shared" ref="T45:T76" si="27">IF(is_category, ADDRESS(sort_min_row, COLUMN(combined_rank)) &amp; ":" &amp; ADDRESS(sort_max_row, COLUMN(combined_rank)), "")</f>
        <v/>
      </c>
      <c r="U45" s="49" t="str">
        <f t="shared" ref="U45:U76" ca="1" si="28">IF(is_category, RANK(combined_rank, INDIRECT(combined_rank_range), 1), "")</f>
        <v/>
      </c>
      <c r="V45" s="49" t="str">
        <f t="shared" ref="V45:V76" si="29">IF(is_category, ADDRESS(sort_min_row, COLUMN(combined_rank_norm)) &amp; ":" &amp; ADDRESS(ROW(), COLUMN(combined_rank_norm)), "")</f>
        <v/>
      </c>
      <c r="W45" s="47" t="str">
        <f t="shared" ref="W45:W76" ca="1" si="30">IF(is_category, combined_rank_norm + COUNTIF(INDIRECT(combined_rank_norm_run_range), combined_rank_norm)-1, "")</f>
        <v/>
      </c>
      <c r="X45" s="56">
        <f t="shared" ref="X45:X76" si="31">IF(is_category, header_row_id + combined_rank_unique, row_id)</f>
        <v>-1</v>
      </c>
      <c r="Y45" s="57" t="str">
        <f t="shared" ref="Y45:Y76" si="32">IF(is_empty, "", INDEX($J:$J, MATCH(row_id, $X:$X, 0)))</f>
        <v/>
      </c>
      <c r="Z45" s="59" t="str">
        <f t="shared" ref="Z45:Z76" si="33">IF(is_empty, "", IF(is_header, "Tracked", INDEX($K:$K, MATCH(row_id, $X:$X, 0))))</f>
        <v/>
      </c>
      <c r="AA45" s="59" t="str">
        <f t="shared" ref="AA45:AA76" si="34">IF(is_empty, "", IF(is_header, "Budget", INDEX($L:$L, MATCH(row_id, $X:$X, 0))))</f>
        <v/>
      </c>
      <c r="AB45" s="58" t="str">
        <f t="shared" ref="AB45:AB76" si="35">IF(is_empty, "", IF(is_header, "% Compl.", IFERROR(out_tracked / out_budget, "-")))</f>
        <v/>
      </c>
      <c r="AC45" s="59" t="str">
        <f t="shared" ref="AC45:AC76" si="36">IF(is_empty, "", IF(is_header, "Remaining", IF(out_budget - out_tracked &gt; 0, out_budget - out_tracked, 0)))</f>
        <v/>
      </c>
      <c r="AD45" s="59" t="str">
        <f t="shared" ref="AD45:AD76" si="37">IF(is_empty, "", IF(is_header, "Excess", IF(out_budget - out_tracked &lt; 0, out_tracked - out_budget, 0)))</f>
        <v/>
      </c>
    </row>
    <row r="46" spans="3:44" x14ac:dyDescent="0.25">
      <c r="C46" s="4" cm="1">
        <f t="array" ref="C46">IF(C45=-1,-1, IF(C45&lt;income_max_row, C45+1, IF(C45=income_max_row, income_total_row, IF(C45=income_total_row, "/1", IF(C45="/1", expenses_header_row, IF(C45&lt;expenses_max_row, C45+1, IF(C45=expenses_max_row, expenses_total_row, IF(C45=expenses_total_row, "/2", IF(C45="/2", savings_header_row, IF(C45&lt;savings_max_row, C45+1, IF(C45=savings_max_row, savings_total_row, -1)))))))))))</f>
        <v>-1</v>
      </c>
      <c r="D46" s="5">
        <f t="shared" si="19"/>
        <v>-1</v>
      </c>
      <c r="E46" s="4" cm="1">
        <f t="array" ref="E46">1*OR(row_id=income_header_row, row_id=expenses_header_row, row_id=savings_header_row)</f>
        <v>0</v>
      </c>
      <c r="F46">
        <f t="shared" si="20"/>
        <v>0</v>
      </c>
      <c r="G46" cm="1">
        <f t="array" ref="G46">1*OR(row_id=income_total_row, row_id=expenses_total_row, row_id=savings_total_row)</f>
        <v>0</v>
      </c>
      <c r="H46" s="5">
        <f t="shared" si="21"/>
        <v>1</v>
      </c>
      <c r="I46" s="4" t="str" cm="1">
        <f t="array" ref="I46">IFERROR(INDEX('Budget Planning'!$C:$C, header_row_id), "")</f>
        <v/>
      </c>
      <c r="J46" t="str" cm="1">
        <f t="array" ref="J46">IFERROR(INDEX('Budget Planning'!$C:$C, row_id), "")</f>
        <v/>
      </c>
      <c r="K46" s="52" t="str" cm="1">
        <f t="array" ref="K4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6" s="53" t="str" cm="1">
        <f t="array" ref="L46">IF(OR(is_header, is_empty), "", INDEX('Budget Planning'!$E:$EM, row_id, MATCH(IF(selected_period="Total Year", selected_year, DATE(selected_year, selected_period, 1)), 'Budget Planning'!$E$9:$EM$9, 0)))</f>
        <v/>
      </c>
      <c r="M46" s="50" t="str" cm="1">
        <f t="array" ref="M46">IF(is_category, IF(header_row_id=income_header_row, MATCH(income_min_row, $C:$C, 0), IF(header_row_id=expenses_header_row, MATCH(expenses_min_row, $C:$C, 0), IF(header_row_id=savings_header_row, MATCH(savings_min_row, $C:$C, 0), ""))), "")</f>
        <v/>
      </c>
      <c r="N46" s="51" t="str" cm="1">
        <f t="array" ref="N46">IF(is_category, IF(header_row_id=income_header_row, MATCH(income_max_row, $C:$C, 0), IF(header_row_id=expenses_header_row, MATCH(expenses_max_row, $C:$C, 0), IF(header_row_id=savings_header_row, MATCH(savings_max_row, $C:$C, 0), ""))), "")</f>
        <v/>
      </c>
      <c r="O46" s="50" t="str">
        <f t="shared" si="22"/>
        <v/>
      </c>
      <c r="P46" s="49" t="str">
        <f t="shared" ca="1" si="23"/>
        <v/>
      </c>
      <c r="Q46" s="49" t="str">
        <f t="shared" si="24"/>
        <v/>
      </c>
      <c r="R46" s="51" t="str">
        <f t="shared" ca="1" si="25"/>
        <v/>
      </c>
      <c r="S46" s="50" t="str">
        <f t="shared" si="26"/>
        <v/>
      </c>
      <c r="T46" s="49" t="str">
        <f t="shared" si="27"/>
        <v/>
      </c>
      <c r="U46" s="49" t="str">
        <f t="shared" ca="1" si="28"/>
        <v/>
      </c>
      <c r="V46" s="49" t="str">
        <f t="shared" si="29"/>
        <v/>
      </c>
      <c r="W46" s="47" t="str">
        <f t="shared" ca="1" si="30"/>
        <v/>
      </c>
      <c r="X46" s="56">
        <f t="shared" si="31"/>
        <v>-1</v>
      </c>
      <c r="Y46" s="57" t="str">
        <f t="shared" si="32"/>
        <v/>
      </c>
      <c r="Z46" s="59" t="str">
        <f t="shared" si="33"/>
        <v/>
      </c>
      <c r="AA46" s="59" t="str">
        <f t="shared" si="34"/>
        <v/>
      </c>
      <c r="AB46" s="58" t="str">
        <f t="shared" si="35"/>
        <v/>
      </c>
      <c r="AC46" s="59" t="str">
        <f t="shared" si="36"/>
        <v/>
      </c>
      <c r="AD46" s="59" t="str">
        <f t="shared" si="37"/>
        <v/>
      </c>
    </row>
    <row r="47" spans="3:44" x14ac:dyDescent="0.25">
      <c r="C47" s="4" cm="1">
        <f t="array" ref="C47">IF(C46=-1,-1, IF(C46&lt;income_max_row, C46+1, IF(C46=income_max_row, income_total_row, IF(C46=income_total_row, "/1", IF(C46="/1", expenses_header_row, IF(C46&lt;expenses_max_row, C46+1, IF(C46=expenses_max_row, expenses_total_row, IF(C46=expenses_total_row, "/2", IF(C46="/2", savings_header_row, IF(C46&lt;savings_max_row, C46+1, IF(C46=savings_max_row, savings_total_row, -1)))))))))))</f>
        <v>-1</v>
      </c>
      <c r="D47" s="5">
        <f t="shared" si="19"/>
        <v>-1</v>
      </c>
      <c r="E47" s="4" cm="1">
        <f t="array" ref="E47">1*OR(row_id=income_header_row, row_id=expenses_header_row, row_id=savings_header_row)</f>
        <v>0</v>
      </c>
      <c r="F47">
        <f t="shared" si="20"/>
        <v>0</v>
      </c>
      <c r="G47" cm="1">
        <f t="array" ref="G47">1*OR(row_id=income_total_row, row_id=expenses_total_row, row_id=savings_total_row)</f>
        <v>0</v>
      </c>
      <c r="H47" s="5">
        <f t="shared" si="21"/>
        <v>1</v>
      </c>
      <c r="I47" s="4" t="str" cm="1">
        <f t="array" ref="I47">IFERROR(INDEX('Budget Planning'!$C:$C, header_row_id), "")</f>
        <v/>
      </c>
      <c r="J47" t="str" cm="1">
        <f t="array" ref="J47">IFERROR(INDEX('Budget Planning'!$C:$C, row_id), "")</f>
        <v/>
      </c>
      <c r="K47" s="52" t="str" cm="1">
        <f t="array" ref="K4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7" s="53" t="str" cm="1">
        <f t="array" ref="L47">IF(OR(is_header, is_empty), "", INDEX('Budget Planning'!$E:$EM, row_id, MATCH(IF(selected_period="Total Year", selected_year, DATE(selected_year, selected_period, 1)), 'Budget Planning'!$E$9:$EM$9, 0)))</f>
        <v/>
      </c>
      <c r="M47" s="50" t="str" cm="1">
        <f t="array" ref="M47">IF(is_category, IF(header_row_id=income_header_row, MATCH(income_min_row, $C:$C, 0), IF(header_row_id=expenses_header_row, MATCH(expenses_min_row, $C:$C, 0), IF(header_row_id=savings_header_row, MATCH(savings_min_row, $C:$C, 0), ""))), "")</f>
        <v/>
      </c>
      <c r="N47" s="51" t="str" cm="1">
        <f t="array" ref="N47">IF(is_category, IF(header_row_id=income_header_row, MATCH(income_max_row, $C:$C, 0), IF(header_row_id=expenses_header_row, MATCH(expenses_max_row, $C:$C, 0), IF(header_row_id=savings_header_row, MATCH(savings_max_row, $C:$C, 0), ""))), "")</f>
        <v/>
      </c>
      <c r="O47" s="50" t="str">
        <f t="shared" si="22"/>
        <v/>
      </c>
      <c r="P47" s="49" t="str">
        <f t="shared" ca="1" si="23"/>
        <v/>
      </c>
      <c r="Q47" s="49" t="str">
        <f t="shared" si="24"/>
        <v/>
      </c>
      <c r="R47" s="51" t="str">
        <f t="shared" ca="1" si="25"/>
        <v/>
      </c>
      <c r="S47" s="50" t="str">
        <f t="shared" si="26"/>
        <v/>
      </c>
      <c r="T47" s="49" t="str">
        <f t="shared" si="27"/>
        <v/>
      </c>
      <c r="U47" s="49" t="str">
        <f t="shared" ca="1" si="28"/>
        <v/>
      </c>
      <c r="V47" s="49" t="str">
        <f t="shared" si="29"/>
        <v/>
      </c>
      <c r="W47" s="47" t="str">
        <f t="shared" ca="1" si="30"/>
        <v/>
      </c>
      <c r="X47" s="56">
        <f t="shared" si="31"/>
        <v>-1</v>
      </c>
      <c r="Y47" s="57" t="str">
        <f t="shared" si="32"/>
        <v/>
      </c>
      <c r="Z47" s="59" t="str">
        <f t="shared" si="33"/>
        <v/>
      </c>
      <c r="AA47" s="59" t="str">
        <f t="shared" si="34"/>
        <v/>
      </c>
      <c r="AB47" s="58" t="str">
        <f t="shared" si="35"/>
        <v/>
      </c>
      <c r="AC47" s="59" t="str">
        <f t="shared" si="36"/>
        <v/>
      </c>
      <c r="AD47" s="59" t="str">
        <f t="shared" si="37"/>
        <v/>
      </c>
    </row>
    <row r="48" spans="3:44" x14ac:dyDescent="0.25">
      <c r="C48" s="4" cm="1">
        <f t="array" ref="C48">IF(C47=-1,-1, IF(C47&lt;income_max_row, C47+1, IF(C47=income_max_row, income_total_row, IF(C47=income_total_row, "/1", IF(C47="/1", expenses_header_row, IF(C47&lt;expenses_max_row, C47+1, IF(C47=expenses_max_row, expenses_total_row, IF(C47=expenses_total_row, "/2", IF(C47="/2", savings_header_row, IF(C47&lt;savings_max_row, C47+1, IF(C47=savings_max_row, savings_total_row, -1)))))))))))</f>
        <v>-1</v>
      </c>
      <c r="D48" s="5">
        <f t="shared" si="19"/>
        <v>-1</v>
      </c>
      <c r="E48" s="4" cm="1">
        <f t="array" ref="E48">1*OR(row_id=income_header_row, row_id=expenses_header_row, row_id=savings_header_row)</f>
        <v>0</v>
      </c>
      <c r="F48">
        <f t="shared" si="20"/>
        <v>0</v>
      </c>
      <c r="G48" cm="1">
        <f t="array" ref="G48">1*OR(row_id=income_total_row, row_id=expenses_total_row, row_id=savings_total_row)</f>
        <v>0</v>
      </c>
      <c r="H48" s="5">
        <f t="shared" si="21"/>
        <v>1</v>
      </c>
      <c r="I48" s="4" t="str" cm="1">
        <f t="array" ref="I48">IFERROR(INDEX('Budget Planning'!$C:$C, header_row_id), "")</f>
        <v/>
      </c>
      <c r="J48" t="str" cm="1">
        <f t="array" ref="J48">IFERROR(INDEX('Budget Planning'!$C:$C, row_id), "")</f>
        <v/>
      </c>
      <c r="K48" s="52" t="str" cm="1">
        <f t="array" ref="K4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8" s="53" t="str" cm="1">
        <f t="array" ref="L48">IF(OR(is_header, is_empty), "", INDEX('Budget Planning'!$E:$EM, row_id, MATCH(IF(selected_period="Total Year", selected_year, DATE(selected_year, selected_period, 1)), 'Budget Planning'!$E$9:$EM$9, 0)))</f>
        <v/>
      </c>
      <c r="M48" s="50" t="str" cm="1">
        <f t="array" ref="M48">IF(is_category, IF(header_row_id=income_header_row, MATCH(income_min_row, $C:$C, 0), IF(header_row_id=expenses_header_row, MATCH(expenses_min_row, $C:$C, 0), IF(header_row_id=savings_header_row, MATCH(savings_min_row, $C:$C, 0), ""))), "")</f>
        <v/>
      </c>
      <c r="N48" s="51" t="str" cm="1">
        <f t="array" ref="N48">IF(is_category, IF(header_row_id=income_header_row, MATCH(income_max_row, $C:$C, 0), IF(header_row_id=expenses_header_row, MATCH(expenses_max_row, $C:$C, 0), IF(header_row_id=savings_header_row, MATCH(savings_max_row, $C:$C, 0), ""))), "")</f>
        <v/>
      </c>
      <c r="O48" s="50" t="str">
        <f t="shared" si="22"/>
        <v/>
      </c>
      <c r="P48" s="49" t="str">
        <f t="shared" ca="1" si="23"/>
        <v/>
      </c>
      <c r="Q48" s="49" t="str">
        <f t="shared" si="24"/>
        <v/>
      </c>
      <c r="R48" s="51" t="str">
        <f t="shared" ca="1" si="25"/>
        <v/>
      </c>
      <c r="S48" s="50" t="str">
        <f t="shared" si="26"/>
        <v/>
      </c>
      <c r="T48" s="49" t="str">
        <f t="shared" si="27"/>
        <v/>
      </c>
      <c r="U48" s="49" t="str">
        <f t="shared" ca="1" si="28"/>
        <v/>
      </c>
      <c r="V48" s="49" t="str">
        <f t="shared" si="29"/>
        <v/>
      </c>
      <c r="W48" s="47" t="str">
        <f t="shared" ca="1" si="30"/>
        <v/>
      </c>
      <c r="X48" s="56">
        <f t="shared" si="31"/>
        <v>-1</v>
      </c>
      <c r="Y48" s="57" t="str">
        <f t="shared" si="32"/>
        <v/>
      </c>
      <c r="Z48" s="59" t="str">
        <f t="shared" si="33"/>
        <v/>
      </c>
      <c r="AA48" s="59" t="str">
        <f t="shared" si="34"/>
        <v/>
      </c>
      <c r="AB48" s="58" t="str">
        <f t="shared" si="35"/>
        <v/>
      </c>
      <c r="AC48" s="59" t="str">
        <f t="shared" si="36"/>
        <v/>
      </c>
      <c r="AD48" s="59" t="str">
        <f t="shared" si="37"/>
        <v/>
      </c>
    </row>
    <row r="49" spans="3:30" x14ac:dyDescent="0.25">
      <c r="C49" s="4" cm="1">
        <f t="array" ref="C49">IF(C48=-1,-1, IF(C48&lt;income_max_row, C48+1, IF(C48=income_max_row, income_total_row, IF(C48=income_total_row, "/1", IF(C48="/1", expenses_header_row, IF(C48&lt;expenses_max_row, C48+1, IF(C48=expenses_max_row, expenses_total_row, IF(C48=expenses_total_row, "/2", IF(C48="/2", savings_header_row, IF(C48&lt;savings_max_row, C48+1, IF(C48=savings_max_row, savings_total_row, -1)))))))))))</f>
        <v>-1</v>
      </c>
      <c r="D49" s="5">
        <f t="shared" si="19"/>
        <v>-1</v>
      </c>
      <c r="E49" s="4" t="b">
        <v>0</v>
      </c>
      <c r="F49">
        <f t="shared" si="20"/>
        <v>0</v>
      </c>
      <c r="G49" cm="1">
        <f t="array" ref="G49">1*OR(row_id=income_total_row, row_id=expenses_total_row, row_id=savings_total_row)</f>
        <v>0</v>
      </c>
      <c r="H49" s="5">
        <f t="shared" si="21"/>
        <v>1</v>
      </c>
      <c r="I49" s="4" t="str" cm="1">
        <f t="array" ref="I49">IFERROR(INDEX('Budget Planning'!$C:$C, header_row_id), "")</f>
        <v/>
      </c>
      <c r="J49" t="str" cm="1">
        <f t="array" ref="J49">IFERROR(INDEX('Budget Planning'!$C:$C, row_id), "")</f>
        <v/>
      </c>
      <c r="K49" s="52" t="str" cm="1">
        <f t="array" ref="K4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9" s="53" t="str" cm="1">
        <f t="array" ref="L49">IF(OR(is_header, is_empty), "", INDEX('Budget Planning'!$E:$EM, row_id, MATCH(IF(selected_period="Total Year", selected_year, DATE(selected_year, selected_period, 1)), 'Budget Planning'!$E$9:$EM$9, 0)))</f>
        <v/>
      </c>
      <c r="M49" s="50" t="str" cm="1">
        <f t="array" ref="M49">IF(is_category, IF(header_row_id=income_header_row, MATCH(income_min_row, $C:$C, 0), IF(header_row_id=expenses_header_row, MATCH(expenses_min_row, $C:$C, 0), IF(header_row_id=savings_header_row, MATCH(savings_min_row, $C:$C, 0), ""))), "")</f>
        <v/>
      </c>
      <c r="N49" s="51" t="str" cm="1">
        <f t="array" ref="N49">IF(is_category, IF(header_row_id=income_header_row, MATCH(income_max_row, $C:$C, 0), IF(header_row_id=expenses_header_row, MATCH(expenses_max_row, $C:$C, 0), IF(header_row_id=savings_header_row, MATCH(savings_max_row, $C:$C, 0), ""))), "")</f>
        <v/>
      </c>
      <c r="O49" s="50" t="str">
        <f t="shared" si="22"/>
        <v/>
      </c>
      <c r="P49" s="49" t="str">
        <f t="shared" ca="1" si="23"/>
        <v/>
      </c>
      <c r="Q49" s="49" t="str">
        <f t="shared" si="24"/>
        <v/>
      </c>
      <c r="R49" s="51" t="str">
        <f t="shared" ca="1" si="25"/>
        <v/>
      </c>
      <c r="S49" s="50" t="str">
        <f t="shared" si="26"/>
        <v/>
      </c>
      <c r="T49" s="49" t="str">
        <f t="shared" si="27"/>
        <v/>
      </c>
      <c r="U49" s="49" t="str">
        <f t="shared" ca="1" si="28"/>
        <v/>
      </c>
      <c r="V49" s="49" t="str">
        <f t="shared" si="29"/>
        <v/>
      </c>
      <c r="W49" s="47" t="str">
        <f t="shared" ca="1" si="30"/>
        <v/>
      </c>
      <c r="X49" s="56">
        <f t="shared" si="31"/>
        <v>-1</v>
      </c>
      <c r="Y49" s="57" t="str">
        <f t="shared" si="32"/>
        <v/>
      </c>
      <c r="Z49" s="59" t="str">
        <f t="shared" si="33"/>
        <v/>
      </c>
      <c r="AA49" s="59" t="str">
        <f t="shared" si="34"/>
        <v/>
      </c>
      <c r="AB49" s="58" t="str">
        <f t="shared" si="35"/>
        <v/>
      </c>
      <c r="AC49" s="59" t="str">
        <f t="shared" si="36"/>
        <v/>
      </c>
      <c r="AD49" s="59" t="str">
        <f t="shared" si="37"/>
        <v/>
      </c>
    </row>
    <row r="50" spans="3:30" x14ac:dyDescent="0.25">
      <c r="C50" s="4" cm="1">
        <f t="array" ref="C50">IF(C49=-1,-1, IF(C49&lt;income_max_row, C49+1, IF(C49=income_max_row, income_total_row, IF(C49=income_total_row, "/1", IF(C49="/1", expenses_header_row, IF(C49&lt;expenses_max_row, C49+1, IF(C49=expenses_max_row, expenses_total_row, IF(C49=expenses_total_row, "/2", IF(C49="/2", savings_header_row, IF(C49&lt;savings_max_row, C49+1, IF(C49=savings_max_row, savings_total_row, -1)))))))))))</f>
        <v>-1</v>
      </c>
      <c r="D50" s="5">
        <f t="shared" si="19"/>
        <v>-1</v>
      </c>
      <c r="E50" s="4" cm="1">
        <f t="array" ref="E50">1*OR(row_id=income_header_row, row_id=expenses_header_row, row_id=savings_header_row)</f>
        <v>0</v>
      </c>
      <c r="F50">
        <f t="shared" si="20"/>
        <v>0</v>
      </c>
      <c r="G50" cm="1">
        <f t="array" ref="G50">1*OR(row_id=income_total_row, row_id=expenses_total_row, row_id=savings_total_row)</f>
        <v>0</v>
      </c>
      <c r="H50" s="5">
        <f t="shared" si="21"/>
        <v>1</v>
      </c>
      <c r="I50" s="4" t="str" cm="1">
        <f t="array" ref="I50">IFERROR(INDEX('Budget Planning'!$C:$C, header_row_id), "")</f>
        <v/>
      </c>
      <c r="J50" t="str" cm="1">
        <f t="array" ref="J50">IFERROR(INDEX('Budget Planning'!$C:$C, row_id), "")</f>
        <v/>
      </c>
      <c r="K50" s="52" t="str" cm="1">
        <f t="array" ref="K5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0" s="53" t="str" cm="1">
        <f t="array" ref="L50">IF(OR(is_header, is_empty), "", INDEX('Budget Planning'!$E:$EM, row_id, MATCH(IF(selected_period="Total Year", selected_year, DATE(selected_year, selected_period, 1)), 'Budget Planning'!$E$9:$EM$9, 0)))</f>
        <v/>
      </c>
      <c r="M50" s="50" t="str" cm="1">
        <f t="array" ref="M50">IF(is_category, IF(header_row_id=income_header_row, MATCH(income_min_row, $C:$C, 0), IF(header_row_id=expenses_header_row, MATCH(expenses_min_row, $C:$C, 0), IF(header_row_id=savings_header_row, MATCH(savings_min_row, $C:$C, 0), ""))), "")</f>
        <v/>
      </c>
      <c r="N50" s="51" t="str" cm="1">
        <f t="array" ref="N50">IF(is_category, IF(header_row_id=income_header_row, MATCH(income_max_row, $C:$C, 0), IF(header_row_id=expenses_header_row, MATCH(expenses_max_row, $C:$C, 0), IF(header_row_id=savings_header_row, MATCH(savings_max_row, $C:$C, 0), ""))), "")</f>
        <v/>
      </c>
      <c r="O50" s="50" t="str">
        <f t="shared" si="22"/>
        <v/>
      </c>
      <c r="P50" s="49" t="str">
        <f t="shared" ca="1" si="23"/>
        <v/>
      </c>
      <c r="Q50" s="49" t="str">
        <f t="shared" si="24"/>
        <v/>
      </c>
      <c r="R50" s="51" t="str">
        <f t="shared" ca="1" si="25"/>
        <v/>
      </c>
      <c r="S50" s="50" t="str">
        <f t="shared" si="26"/>
        <v/>
      </c>
      <c r="T50" s="49" t="str">
        <f t="shared" si="27"/>
        <v/>
      </c>
      <c r="U50" s="49" t="str">
        <f t="shared" ca="1" si="28"/>
        <v/>
      </c>
      <c r="V50" s="49" t="str">
        <f t="shared" si="29"/>
        <v/>
      </c>
      <c r="W50" s="47" t="str">
        <f t="shared" ca="1" si="30"/>
        <v/>
      </c>
      <c r="X50" s="56">
        <f t="shared" si="31"/>
        <v>-1</v>
      </c>
      <c r="Y50" s="57" t="str">
        <f t="shared" si="32"/>
        <v/>
      </c>
      <c r="Z50" s="59" t="str">
        <f t="shared" si="33"/>
        <v/>
      </c>
      <c r="AA50" s="59" t="str">
        <f t="shared" si="34"/>
        <v/>
      </c>
      <c r="AB50" s="58" t="str">
        <f t="shared" si="35"/>
        <v/>
      </c>
      <c r="AC50" s="59" t="str">
        <f t="shared" si="36"/>
        <v/>
      </c>
      <c r="AD50" s="59" t="str">
        <f t="shared" si="37"/>
        <v/>
      </c>
    </row>
    <row r="51" spans="3:30" x14ac:dyDescent="0.25">
      <c r="C51" s="4" cm="1">
        <f t="array" ref="C51">IF(C50=-1,-1, IF(C50&lt;income_max_row, C50+1, IF(C50=income_max_row, income_total_row, IF(C50=income_total_row, "/1", IF(C50="/1", expenses_header_row, IF(C50&lt;expenses_max_row, C50+1, IF(C50=expenses_max_row, expenses_total_row, IF(C50=expenses_total_row, "/2", IF(C50="/2", savings_header_row, IF(C50&lt;savings_max_row, C50+1, IF(C50=savings_max_row, savings_total_row, -1)))))))))))</f>
        <v>-1</v>
      </c>
      <c r="D51" s="5">
        <f t="shared" si="19"/>
        <v>-1</v>
      </c>
      <c r="E51" s="4" cm="1">
        <f t="array" ref="E51">1*OR(row_id=income_header_row, row_id=expenses_header_row, row_id=savings_header_row)</f>
        <v>0</v>
      </c>
      <c r="F51">
        <f t="shared" si="20"/>
        <v>0</v>
      </c>
      <c r="G51" cm="1">
        <f t="array" ref="G51">1*OR(row_id=income_total_row, row_id=expenses_total_row, row_id=savings_total_row)</f>
        <v>0</v>
      </c>
      <c r="H51" s="5">
        <f t="shared" si="21"/>
        <v>1</v>
      </c>
      <c r="I51" s="4" t="str" cm="1">
        <f t="array" ref="I51">IFERROR(INDEX('Budget Planning'!$C:$C, header_row_id), "")</f>
        <v/>
      </c>
      <c r="J51" t="str" cm="1">
        <f t="array" ref="J51">IFERROR(INDEX('Budget Planning'!$C:$C, row_id), "")</f>
        <v/>
      </c>
      <c r="K51" s="52" t="str" cm="1">
        <f t="array" ref="K5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1" s="53" t="str" cm="1">
        <f t="array" ref="L51">IF(OR(is_header, is_empty), "", INDEX('Budget Planning'!$E:$EM, row_id, MATCH(IF(selected_period="Total Year", selected_year, DATE(selected_year, selected_period, 1)), 'Budget Planning'!$E$9:$EM$9, 0)))</f>
        <v/>
      </c>
      <c r="M51" s="50" t="str" cm="1">
        <f t="array" ref="M51">IF(is_category, IF(header_row_id=income_header_row, MATCH(income_min_row, $C:$C, 0), IF(header_row_id=expenses_header_row, MATCH(expenses_min_row, $C:$C, 0), IF(header_row_id=savings_header_row, MATCH(savings_min_row, $C:$C, 0), ""))), "")</f>
        <v/>
      </c>
      <c r="N51" s="51" t="str" cm="1">
        <f t="array" ref="N51">IF(is_category, IF(header_row_id=income_header_row, MATCH(income_max_row, $C:$C, 0), IF(header_row_id=expenses_header_row, MATCH(expenses_max_row, $C:$C, 0), IF(header_row_id=savings_header_row, MATCH(savings_max_row, $C:$C, 0), ""))), "")</f>
        <v/>
      </c>
      <c r="O51" s="50" t="str">
        <f t="shared" si="22"/>
        <v/>
      </c>
      <c r="P51" s="49" t="str">
        <f t="shared" ca="1" si="23"/>
        <v/>
      </c>
      <c r="Q51" s="49" t="str">
        <f t="shared" si="24"/>
        <v/>
      </c>
      <c r="R51" s="51" t="str">
        <f t="shared" ca="1" si="25"/>
        <v/>
      </c>
      <c r="S51" s="50" t="str">
        <f t="shared" si="26"/>
        <v/>
      </c>
      <c r="T51" s="49" t="str">
        <f t="shared" si="27"/>
        <v/>
      </c>
      <c r="U51" s="49" t="str">
        <f t="shared" ca="1" si="28"/>
        <v/>
      </c>
      <c r="V51" s="49" t="str">
        <f t="shared" si="29"/>
        <v/>
      </c>
      <c r="W51" s="47" t="str">
        <f t="shared" ca="1" si="30"/>
        <v/>
      </c>
      <c r="X51" s="56">
        <f t="shared" si="31"/>
        <v>-1</v>
      </c>
      <c r="Y51" s="57" t="str">
        <f t="shared" si="32"/>
        <v/>
      </c>
      <c r="Z51" s="59" t="str">
        <f t="shared" si="33"/>
        <v/>
      </c>
      <c r="AA51" s="59" t="str">
        <f t="shared" si="34"/>
        <v/>
      </c>
      <c r="AB51" s="58" t="str">
        <f t="shared" si="35"/>
        <v/>
      </c>
      <c r="AC51" s="59" t="str">
        <f t="shared" si="36"/>
        <v/>
      </c>
      <c r="AD51" s="59" t="str">
        <f t="shared" si="37"/>
        <v/>
      </c>
    </row>
    <row r="52" spans="3:30" x14ac:dyDescent="0.25">
      <c r="C52" s="4" cm="1">
        <f t="array" ref="C52">IF(C51=-1,-1, IF(C51&lt;income_max_row, C51+1, IF(C51=income_max_row, income_total_row, IF(C51=income_total_row, "/1", IF(C51="/1", expenses_header_row, IF(C51&lt;expenses_max_row, C51+1, IF(C51=expenses_max_row, expenses_total_row, IF(C51=expenses_total_row, "/2", IF(C51="/2", savings_header_row, IF(C51&lt;savings_max_row, C51+1, IF(C51=savings_max_row, savings_total_row, -1)))))))))))</f>
        <v>-1</v>
      </c>
      <c r="D52" s="5">
        <f t="shared" si="19"/>
        <v>-1</v>
      </c>
      <c r="E52" s="4" t="b">
        <v>1</v>
      </c>
      <c r="F52">
        <f t="shared" si="20"/>
        <v>0</v>
      </c>
      <c r="G52" cm="1">
        <f t="array" ref="G52">1*OR(row_id=income_total_row, row_id=expenses_total_row, row_id=savings_total_row)</f>
        <v>0</v>
      </c>
      <c r="H52" s="5">
        <f t="shared" si="21"/>
        <v>1</v>
      </c>
      <c r="I52" s="4" t="str" cm="1">
        <f t="array" ref="I52">IFERROR(INDEX('Budget Planning'!$C:$C, header_row_id), "")</f>
        <v/>
      </c>
      <c r="J52" t="str" cm="1">
        <f t="array" ref="J52">IFERROR(INDEX('Budget Planning'!$C:$C, row_id), "")</f>
        <v/>
      </c>
      <c r="K52" s="52" t="str" cm="1">
        <f t="array" ref="K5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2" s="53" t="str" cm="1">
        <f t="array" ref="L52">IF(OR(is_header, is_empty), "", INDEX('Budget Planning'!$E:$EM, row_id, MATCH(IF(selected_period="Total Year", selected_year, DATE(selected_year, selected_period, 1)), 'Budget Planning'!$E$9:$EM$9, 0)))</f>
        <v/>
      </c>
      <c r="M52" s="50" t="str" cm="1">
        <f t="array" ref="M52">IF(is_category, IF(header_row_id=income_header_row, MATCH(income_min_row, $C:$C, 0), IF(header_row_id=expenses_header_row, MATCH(expenses_min_row, $C:$C, 0), IF(header_row_id=savings_header_row, MATCH(savings_min_row, $C:$C, 0), ""))), "")</f>
        <v/>
      </c>
      <c r="N52" s="51" t="str" cm="1">
        <f t="array" ref="N52">IF(is_category, IF(header_row_id=income_header_row, MATCH(income_max_row, $C:$C, 0), IF(header_row_id=expenses_header_row, MATCH(expenses_max_row, $C:$C, 0), IF(header_row_id=savings_header_row, MATCH(savings_max_row, $C:$C, 0), ""))), "")</f>
        <v/>
      </c>
      <c r="O52" s="50" t="str">
        <f t="shared" si="22"/>
        <v/>
      </c>
      <c r="P52" s="49" t="str">
        <f t="shared" ca="1" si="23"/>
        <v/>
      </c>
      <c r="Q52" s="49" t="str">
        <f t="shared" si="24"/>
        <v/>
      </c>
      <c r="R52" s="51" t="str">
        <f t="shared" ca="1" si="25"/>
        <v/>
      </c>
      <c r="S52" s="50" t="str">
        <f t="shared" si="26"/>
        <v/>
      </c>
      <c r="T52" s="49" t="str">
        <f t="shared" si="27"/>
        <v/>
      </c>
      <c r="U52" s="49" t="str">
        <f t="shared" ca="1" si="28"/>
        <v/>
      </c>
      <c r="V52" s="49" t="str">
        <f t="shared" si="29"/>
        <v/>
      </c>
      <c r="W52" s="47" t="str">
        <f t="shared" ca="1" si="30"/>
        <v/>
      </c>
      <c r="X52" s="56">
        <f t="shared" si="31"/>
        <v>-1</v>
      </c>
      <c r="Y52" s="57" t="str">
        <f t="shared" si="32"/>
        <v/>
      </c>
      <c r="Z52" s="59" t="str">
        <f t="shared" si="33"/>
        <v/>
      </c>
      <c r="AA52" s="59" t="str">
        <f t="shared" si="34"/>
        <v/>
      </c>
      <c r="AB52" s="58" t="str">
        <f t="shared" si="35"/>
        <v/>
      </c>
      <c r="AC52" s="59" t="str">
        <f t="shared" si="36"/>
        <v/>
      </c>
      <c r="AD52" s="59" t="str">
        <f t="shared" si="37"/>
        <v/>
      </c>
    </row>
    <row r="53" spans="3:30" x14ac:dyDescent="0.25">
      <c r="C53" s="4" cm="1">
        <f t="array" ref="C53">IF(C52=-1,-1, IF(C52&lt;income_max_row, C52+1, IF(C52=income_max_row, income_total_row, IF(C52=income_total_row, "/1", IF(C52="/1", expenses_header_row, IF(C52&lt;expenses_max_row, C52+1, IF(C52=expenses_max_row, expenses_total_row, IF(C52=expenses_total_row, "/2", IF(C52="/2", savings_header_row, IF(C52&lt;savings_max_row, C52+1, IF(C52=savings_max_row, savings_total_row, -1)))))))))))</f>
        <v>-1</v>
      </c>
      <c r="D53" s="5">
        <f t="shared" si="19"/>
        <v>-1</v>
      </c>
      <c r="E53" s="4" cm="1">
        <f t="array" ref="E53">1*OR(row_id=income_header_row, row_id=expenses_header_row, row_id=savings_header_row)</f>
        <v>0</v>
      </c>
      <c r="F53">
        <f t="shared" si="20"/>
        <v>0</v>
      </c>
      <c r="G53" cm="1">
        <f t="array" ref="G53">1*OR(row_id=income_total_row, row_id=expenses_total_row, row_id=savings_total_row)</f>
        <v>0</v>
      </c>
      <c r="H53" s="5">
        <f t="shared" si="21"/>
        <v>1</v>
      </c>
      <c r="I53" s="4" t="str" cm="1">
        <f t="array" ref="I53">IFERROR(INDEX('Budget Planning'!$C:$C, header_row_id), "")</f>
        <v/>
      </c>
      <c r="J53" t="str" cm="1">
        <f t="array" ref="J53">IFERROR(INDEX('Budget Planning'!$C:$C, row_id), "")</f>
        <v/>
      </c>
      <c r="K53" s="52" t="str" cm="1">
        <f t="array" ref="K5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3" s="53" t="str" cm="1">
        <f t="array" ref="L53">IF(OR(is_header, is_empty), "", INDEX('Budget Planning'!$E:$EM, row_id, MATCH(IF(selected_period="Total Year", selected_year, DATE(selected_year, selected_period, 1)), 'Budget Planning'!$E$9:$EM$9, 0)))</f>
        <v/>
      </c>
      <c r="M53" s="50" t="str" cm="1">
        <f t="array" ref="M53">IF(is_category, IF(header_row_id=income_header_row, MATCH(income_min_row, $C:$C, 0), IF(header_row_id=expenses_header_row, MATCH(expenses_min_row, $C:$C, 0), IF(header_row_id=savings_header_row, MATCH(savings_min_row, $C:$C, 0), ""))), "")</f>
        <v/>
      </c>
      <c r="N53" s="51" t="str" cm="1">
        <f t="array" ref="N53">IF(is_category, IF(header_row_id=income_header_row, MATCH(income_max_row, $C:$C, 0), IF(header_row_id=expenses_header_row, MATCH(expenses_max_row, $C:$C, 0), IF(header_row_id=savings_header_row, MATCH(savings_max_row, $C:$C, 0), ""))), "")</f>
        <v/>
      </c>
      <c r="O53" s="50" t="str">
        <f t="shared" si="22"/>
        <v/>
      </c>
      <c r="P53" s="49" t="str">
        <f t="shared" ca="1" si="23"/>
        <v/>
      </c>
      <c r="Q53" s="49" t="str">
        <f t="shared" si="24"/>
        <v/>
      </c>
      <c r="R53" s="51" t="str">
        <f t="shared" ca="1" si="25"/>
        <v/>
      </c>
      <c r="S53" s="50" t="str">
        <f t="shared" si="26"/>
        <v/>
      </c>
      <c r="T53" s="49" t="str">
        <f t="shared" si="27"/>
        <v/>
      </c>
      <c r="U53" s="49" t="str">
        <f t="shared" ca="1" si="28"/>
        <v/>
      </c>
      <c r="V53" s="49" t="str">
        <f t="shared" si="29"/>
        <v/>
      </c>
      <c r="W53" s="47" t="str">
        <f t="shared" ca="1" si="30"/>
        <v/>
      </c>
      <c r="X53" s="56">
        <f t="shared" si="31"/>
        <v>-1</v>
      </c>
      <c r="Y53" s="57" t="str">
        <f t="shared" si="32"/>
        <v/>
      </c>
      <c r="Z53" s="59" t="str">
        <f t="shared" si="33"/>
        <v/>
      </c>
      <c r="AA53" s="59" t="str">
        <f t="shared" si="34"/>
        <v/>
      </c>
      <c r="AB53" s="58" t="str">
        <f t="shared" si="35"/>
        <v/>
      </c>
      <c r="AC53" s="59" t="str">
        <f t="shared" si="36"/>
        <v/>
      </c>
      <c r="AD53" s="59" t="str">
        <f t="shared" si="37"/>
        <v/>
      </c>
    </row>
    <row r="54" spans="3:30" x14ac:dyDescent="0.25">
      <c r="C54" s="4" cm="1">
        <f t="array" ref="C54">IF(C53=-1,-1, IF(C53&lt;income_max_row, C53+1, IF(C53=income_max_row, income_total_row, IF(C53=income_total_row, "/1", IF(C53="/1", expenses_header_row, IF(C53&lt;expenses_max_row, C53+1, IF(C53=expenses_max_row, expenses_total_row, IF(C53=expenses_total_row, "/2", IF(C53="/2", savings_header_row, IF(C53&lt;savings_max_row, C53+1, IF(C53=savings_max_row, savings_total_row, -1)))))))))))</f>
        <v>-1</v>
      </c>
      <c r="D54" s="5">
        <f t="shared" si="19"/>
        <v>-1</v>
      </c>
      <c r="E54" s="4" cm="1">
        <f t="array" ref="E54">1*OR(row_id=income_header_row, row_id=expenses_header_row, row_id=savings_header_row)</f>
        <v>0</v>
      </c>
      <c r="F54">
        <f t="shared" si="20"/>
        <v>0</v>
      </c>
      <c r="G54" cm="1">
        <f t="array" ref="G54">1*OR(row_id=income_total_row, row_id=expenses_total_row, row_id=savings_total_row)</f>
        <v>0</v>
      </c>
      <c r="H54" s="5">
        <f t="shared" si="21"/>
        <v>1</v>
      </c>
      <c r="I54" s="4" t="str" cm="1">
        <f t="array" ref="I54">IFERROR(INDEX('Budget Planning'!$C:$C, header_row_id), "")</f>
        <v/>
      </c>
      <c r="J54" t="str" cm="1">
        <f t="array" ref="J54">IFERROR(INDEX('Budget Planning'!$C:$C, row_id), "")</f>
        <v/>
      </c>
      <c r="K54" s="52" t="str" cm="1">
        <f t="array" ref="K5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4" s="53" t="str" cm="1">
        <f t="array" ref="L54">IF(OR(is_header, is_empty), "", INDEX('Budget Planning'!$E:$EM, row_id, MATCH(IF(selected_period="Total Year", selected_year, DATE(selected_year, selected_period, 1)), 'Budget Planning'!$E$9:$EM$9, 0)))</f>
        <v/>
      </c>
      <c r="M54" s="50" t="str" cm="1">
        <f t="array" ref="M54">IF(is_category, IF(header_row_id=income_header_row, MATCH(income_min_row, $C:$C, 0), IF(header_row_id=expenses_header_row, MATCH(expenses_min_row, $C:$C, 0), IF(header_row_id=savings_header_row, MATCH(savings_min_row, $C:$C, 0), ""))), "")</f>
        <v/>
      </c>
      <c r="N54" s="51" t="str" cm="1">
        <f t="array" ref="N54">IF(is_category, IF(header_row_id=income_header_row, MATCH(income_max_row, $C:$C, 0), IF(header_row_id=expenses_header_row, MATCH(expenses_max_row, $C:$C, 0), IF(header_row_id=savings_header_row, MATCH(savings_max_row, $C:$C, 0), ""))), "")</f>
        <v/>
      </c>
      <c r="O54" s="50" t="str">
        <f t="shared" si="22"/>
        <v/>
      </c>
      <c r="P54" s="49" t="str">
        <f t="shared" ca="1" si="23"/>
        <v/>
      </c>
      <c r="Q54" s="49" t="str">
        <f t="shared" si="24"/>
        <v/>
      </c>
      <c r="R54" s="51" t="str">
        <f t="shared" ca="1" si="25"/>
        <v/>
      </c>
      <c r="S54" s="50" t="str">
        <f t="shared" si="26"/>
        <v/>
      </c>
      <c r="T54" s="49" t="str">
        <f t="shared" si="27"/>
        <v/>
      </c>
      <c r="U54" s="49" t="str">
        <f t="shared" ca="1" si="28"/>
        <v/>
      </c>
      <c r="V54" s="49" t="str">
        <f t="shared" si="29"/>
        <v/>
      </c>
      <c r="W54" s="47" t="str">
        <f t="shared" ca="1" si="30"/>
        <v/>
      </c>
      <c r="X54" s="56">
        <f t="shared" si="31"/>
        <v>-1</v>
      </c>
      <c r="Y54" s="57" t="str">
        <f t="shared" si="32"/>
        <v/>
      </c>
      <c r="Z54" s="59" t="str">
        <f t="shared" si="33"/>
        <v/>
      </c>
      <c r="AA54" s="59" t="str">
        <f t="shared" si="34"/>
        <v/>
      </c>
      <c r="AB54" s="58" t="str">
        <f t="shared" si="35"/>
        <v/>
      </c>
      <c r="AC54" s="59" t="str">
        <f t="shared" si="36"/>
        <v/>
      </c>
      <c r="AD54" s="59" t="str">
        <f t="shared" si="37"/>
        <v/>
      </c>
    </row>
    <row r="55" spans="3:30" x14ac:dyDescent="0.25">
      <c r="C55" s="4" cm="1">
        <f t="array" ref="C55">IF(C54=-1,-1, IF(C54&lt;income_max_row, C54+1, IF(C54=income_max_row, income_total_row, IF(C54=income_total_row, "/1", IF(C54="/1", expenses_header_row, IF(C54&lt;expenses_max_row, C54+1, IF(C54=expenses_max_row, expenses_total_row, IF(C54=expenses_total_row, "/2", IF(C54="/2", savings_header_row, IF(C54&lt;savings_max_row, C54+1, IF(C54=savings_max_row, savings_total_row, -1)))))))))))</f>
        <v>-1</v>
      </c>
      <c r="D55" s="5">
        <f t="shared" si="19"/>
        <v>-1</v>
      </c>
      <c r="E55" s="4" cm="1">
        <f t="array" ref="E55">1*OR(row_id=income_header_row, row_id=expenses_header_row, row_id=savings_header_row)</f>
        <v>0</v>
      </c>
      <c r="F55">
        <f t="shared" si="20"/>
        <v>0</v>
      </c>
      <c r="G55" cm="1">
        <f t="array" ref="G55">1*OR(row_id=income_total_row, row_id=expenses_total_row, row_id=savings_total_row)</f>
        <v>0</v>
      </c>
      <c r="H55" s="5">
        <f t="shared" si="21"/>
        <v>1</v>
      </c>
      <c r="I55" s="4" t="str" cm="1">
        <f t="array" ref="I55">IFERROR(INDEX('Budget Planning'!$C:$C, header_row_id), "")</f>
        <v/>
      </c>
      <c r="J55" t="str" cm="1">
        <f t="array" ref="J55">IFERROR(INDEX('Budget Planning'!$C:$C, row_id), "")</f>
        <v/>
      </c>
      <c r="K55" s="52" t="str" cm="1">
        <f t="array" ref="K5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5" s="53" t="str" cm="1">
        <f t="array" ref="L55">IF(OR(is_header, is_empty), "", INDEX('Budget Planning'!$E:$EM, row_id, MATCH(IF(selected_period="Total Year", selected_year, DATE(selected_year, selected_period, 1)), 'Budget Planning'!$E$9:$EM$9, 0)))</f>
        <v/>
      </c>
      <c r="M55" s="50" t="str" cm="1">
        <f t="array" ref="M55">IF(is_category, IF(header_row_id=income_header_row, MATCH(income_min_row, $C:$C, 0), IF(header_row_id=expenses_header_row, MATCH(expenses_min_row, $C:$C, 0), IF(header_row_id=savings_header_row, MATCH(savings_min_row, $C:$C, 0), ""))), "")</f>
        <v/>
      </c>
      <c r="N55" s="51" t="str" cm="1">
        <f t="array" ref="N55">IF(is_category, IF(header_row_id=income_header_row, MATCH(income_max_row, $C:$C, 0), IF(header_row_id=expenses_header_row, MATCH(expenses_max_row, $C:$C, 0), IF(header_row_id=savings_header_row, MATCH(savings_max_row, $C:$C, 0), ""))), "")</f>
        <v/>
      </c>
      <c r="O55" s="50" t="str">
        <f t="shared" si="22"/>
        <v/>
      </c>
      <c r="P55" s="49" t="str">
        <f t="shared" ca="1" si="23"/>
        <v/>
      </c>
      <c r="Q55" s="49" t="str">
        <f t="shared" si="24"/>
        <v/>
      </c>
      <c r="R55" s="51" t="str">
        <f t="shared" ca="1" si="25"/>
        <v/>
      </c>
      <c r="S55" s="50" t="str">
        <f t="shared" si="26"/>
        <v/>
      </c>
      <c r="T55" s="49" t="str">
        <f t="shared" si="27"/>
        <v/>
      </c>
      <c r="U55" s="49" t="str">
        <f t="shared" ca="1" si="28"/>
        <v/>
      </c>
      <c r="V55" s="49" t="str">
        <f t="shared" si="29"/>
        <v/>
      </c>
      <c r="W55" s="47" t="str">
        <f t="shared" ca="1" si="30"/>
        <v/>
      </c>
      <c r="X55" s="56">
        <f t="shared" si="31"/>
        <v>-1</v>
      </c>
      <c r="Y55" s="57" t="str">
        <f t="shared" si="32"/>
        <v/>
      </c>
      <c r="Z55" s="59" t="str">
        <f t="shared" si="33"/>
        <v/>
      </c>
      <c r="AA55" s="59" t="str">
        <f t="shared" si="34"/>
        <v/>
      </c>
      <c r="AB55" s="58" t="str">
        <f t="shared" si="35"/>
        <v/>
      </c>
      <c r="AC55" s="59" t="str">
        <f t="shared" si="36"/>
        <v/>
      </c>
      <c r="AD55" s="59" t="str">
        <f t="shared" si="37"/>
        <v/>
      </c>
    </row>
    <row r="56" spans="3:30" x14ac:dyDescent="0.25">
      <c r="C56" s="4" cm="1">
        <f t="array" ref="C56">IF(C55=-1,-1, IF(C55&lt;income_max_row, C55+1, IF(C55=income_max_row, income_total_row, IF(C55=income_total_row, "/1", IF(C55="/1", expenses_header_row, IF(C55&lt;expenses_max_row, C55+1, IF(C55=expenses_max_row, expenses_total_row, IF(C55=expenses_total_row, "/2", IF(C55="/2", savings_header_row, IF(C55&lt;savings_max_row, C55+1, IF(C55=savings_max_row, savings_total_row, -1)))))))))))</f>
        <v>-1</v>
      </c>
      <c r="D56" s="5">
        <f t="shared" si="19"/>
        <v>-1</v>
      </c>
      <c r="E56" s="4" cm="1">
        <f t="array" ref="E56">1*OR(row_id=income_header_row, row_id=expenses_header_row, row_id=savings_header_row)</f>
        <v>0</v>
      </c>
      <c r="F56">
        <f t="shared" si="20"/>
        <v>0</v>
      </c>
      <c r="G56" cm="1">
        <f t="array" ref="G56">1*OR(row_id=income_total_row, row_id=expenses_total_row, row_id=savings_total_row)</f>
        <v>0</v>
      </c>
      <c r="H56" s="5">
        <f t="shared" si="21"/>
        <v>1</v>
      </c>
      <c r="I56" s="4" t="str" cm="1">
        <f t="array" ref="I56">IFERROR(INDEX('Budget Planning'!$C:$C, header_row_id), "")</f>
        <v/>
      </c>
      <c r="J56" t="str" cm="1">
        <f t="array" ref="J56">IFERROR(INDEX('Budget Planning'!$C:$C, row_id), "")</f>
        <v/>
      </c>
      <c r="K56" s="52" t="str" cm="1">
        <f t="array" ref="K5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6" s="53" t="str" cm="1">
        <f t="array" ref="L56">IF(OR(is_header, is_empty), "", INDEX('Budget Planning'!$E:$EM, row_id, MATCH(IF(selected_period="Total Year", selected_year, DATE(selected_year, selected_period, 1)), 'Budget Planning'!$E$9:$EM$9, 0)))</f>
        <v/>
      </c>
      <c r="M56" s="50" t="str" cm="1">
        <f t="array" ref="M56">IF(is_category, IF(header_row_id=income_header_row, MATCH(income_min_row, $C:$C, 0), IF(header_row_id=expenses_header_row, MATCH(expenses_min_row, $C:$C, 0), IF(header_row_id=savings_header_row, MATCH(savings_min_row, $C:$C, 0), ""))), "")</f>
        <v/>
      </c>
      <c r="N56" s="51" t="str" cm="1">
        <f t="array" ref="N56">IF(is_category, IF(header_row_id=income_header_row, MATCH(income_max_row, $C:$C, 0), IF(header_row_id=expenses_header_row, MATCH(expenses_max_row, $C:$C, 0), IF(header_row_id=savings_header_row, MATCH(savings_max_row, $C:$C, 0), ""))), "")</f>
        <v/>
      </c>
      <c r="O56" s="50" t="str">
        <f t="shared" si="22"/>
        <v/>
      </c>
      <c r="P56" s="49" t="str">
        <f t="shared" ca="1" si="23"/>
        <v/>
      </c>
      <c r="Q56" s="49" t="str">
        <f t="shared" si="24"/>
        <v/>
      </c>
      <c r="R56" s="51" t="str">
        <f t="shared" ca="1" si="25"/>
        <v/>
      </c>
      <c r="S56" s="50" t="str">
        <f t="shared" si="26"/>
        <v/>
      </c>
      <c r="T56" s="49" t="str">
        <f t="shared" si="27"/>
        <v/>
      </c>
      <c r="U56" s="49" t="str">
        <f t="shared" ca="1" si="28"/>
        <v/>
      </c>
      <c r="V56" s="49" t="str">
        <f t="shared" si="29"/>
        <v/>
      </c>
      <c r="W56" s="47" t="str">
        <f t="shared" ca="1" si="30"/>
        <v/>
      </c>
      <c r="X56" s="56">
        <f t="shared" si="31"/>
        <v>-1</v>
      </c>
      <c r="Y56" s="57" t="str">
        <f t="shared" si="32"/>
        <v/>
      </c>
      <c r="Z56" s="59" t="str">
        <f t="shared" si="33"/>
        <v/>
      </c>
      <c r="AA56" s="59" t="str">
        <f t="shared" si="34"/>
        <v/>
      </c>
      <c r="AB56" s="58" t="str">
        <f t="shared" si="35"/>
        <v/>
      </c>
      <c r="AC56" s="59" t="str">
        <f t="shared" si="36"/>
        <v/>
      </c>
      <c r="AD56" s="59" t="str">
        <f t="shared" si="37"/>
        <v/>
      </c>
    </row>
    <row r="57" spans="3:30" x14ac:dyDescent="0.25">
      <c r="C57" s="4" cm="1">
        <f t="array" ref="C57">IF(C56=-1,-1, IF(C56&lt;income_max_row, C56+1, IF(C56=income_max_row, income_total_row, IF(C56=income_total_row, "/1", IF(C56="/1", expenses_header_row, IF(C56&lt;expenses_max_row, C56+1, IF(C56=expenses_max_row, expenses_total_row, IF(C56=expenses_total_row, "/2", IF(C56="/2", savings_header_row, IF(C56&lt;savings_max_row, C56+1, IF(C56=savings_max_row, savings_total_row, -1)))))))))))</f>
        <v>-1</v>
      </c>
      <c r="D57" s="5">
        <f t="shared" si="19"/>
        <v>-1</v>
      </c>
      <c r="E57" s="4" cm="1">
        <f t="array" ref="E57">1*OR(row_id=income_header_row, row_id=expenses_header_row, row_id=savings_header_row)</f>
        <v>0</v>
      </c>
      <c r="F57">
        <f t="shared" si="20"/>
        <v>0</v>
      </c>
      <c r="G57" cm="1">
        <f t="array" ref="G57">1*OR(row_id=income_total_row, row_id=expenses_total_row, row_id=savings_total_row)</f>
        <v>0</v>
      </c>
      <c r="H57" s="5">
        <f t="shared" si="21"/>
        <v>1</v>
      </c>
      <c r="I57" s="4" t="str" cm="1">
        <f t="array" ref="I57">IFERROR(INDEX('Budget Planning'!$C:$C, header_row_id), "")</f>
        <v/>
      </c>
      <c r="J57" t="str" cm="1">
        <f t="array" ref="J57">IFERROR(INDEX('Budget Planning'!$C:$C, row_id), "")</f>
        <v/>
      </c>
      <c r="K57" s="52" t="str" cm="1">
        <f t="array" ref="K5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7" s="53" t="str" cm="1">
        <f t="array" ref="L57">IF(OR(is_header, is_empty), "", INDEX('Budget Planning'!$E:$EM, row_id, MATCH(IF(selected_period="Total Year", selected_year, DATE(selected_year, selected_period, 1)), 'Budget Planning'!$E$9:$EM$9, 0)))</f>
        <v/>
      </c>
      <c r="M57" s="50" t="str" cm="1">
        <f t="array" ref="M57">IF(is_category, IF(header_row_id=income_header_row, MATCH(income_min_row, $C:$C, 0), IF(header_row_id=expenses_header_row, MATCH(expenses_min_row, $C:$C, 0), IF(header_row_id=savings_header_row, MATCH(savings_min_row, $C:$C, 0), ""))), "")</f>
        <v/>
      </c>
      <c r="N57" s="51" t="str" cm="1">
        <f t="array" ref="N57">IF(is_category, IF(header_row_id=income_header_row, MATCH(income_max_row, $C:$C, 0), IF(header_row_id=expenses_header_row, MATCH(expenses_max_row, $C:$C, 0), IF(header_row_id=savings_header_row, MATCH(savings_max_row, $C:$C, 0), ""))), "")</f>
        <v/>
      </c>
      <c r="O57" s="50" t="str">
        <f t="shared" si="22"/>
        <v/>
      </c>
      <c r="P57" s="49" t="str">
        <f t="shared" ca="1" si="23"/>
        <v/>
      </c>
      <c r="Q57" s="49" t="str">
        <f t="shared" si="24"/>
        <v/>
      </c>
      <c r="R57" s="51" t="str">
        <f t="shared" ca="1" si="25"/>
        <v/>
      </c>
      <c r="S57" s="50" t="str">
        <f t="shared" si="26"/>
        <v/>
      </c>
      <c r="T57" s="49" t="str">
        <f t="shared" si="27"/>
        <v/>
      </c>
      <c r="U57" s="49" t="str">
        <f t="shared" ca="1" si="28"/>
        <v/>
      </c>
      <c r="V57" s="49" t="str">
        <f t="shared" si="29"/>
        <v/>
      </c>
      <c r="W57" s="47" t="str">
        <f t="shared" ca="1" si="30"/>
        <v/>
      </c>
      <c r="X57" s="56">
        <f t="shared" si="31"/>
        <v>-1</v>
      </c>
      <c r="Y57" s="57" t="str">
        <f t="shared" si="32"/>
        <v/>
      </c>
      <c r="Z57" s="59" t="str">
        <f t="shared" si="33"/>
        <v/>
      </c>
      <c r="AA57" s="59" t="str">
        <f t="shared" si="34"/>
        <v/>
      </c>
      <c r="AB57" s="58" t="str">
        <f t="shared" si="35"/>
        <v/>
      </c>
      <c r="AC57" s="59" t="str">
        <f t="shared" si="36"/>
        <v/>
      </c>
      <c r="AD57" s="59" t="str">
        <f t="shared" si="37"/>
        <v/>
      </c>
    </row>
    <row r="58" spans="3:30" x14ac:dyDescent="0.25">
      <c r="C58" s="4" cm="1">
        <f t="array" ref="C58">IF(C57=-1,-1, IF(C57&lt;income_max_row, C57+1, IF(C57=income_max_row, income_total_row, IF(C57=income_total_row, "/1", IF(C57="/1", expenses_header_row, IF(C57&lt;expenses_max_row, C57+1, IF(C57=expenses_max_row, expenses_total_row, IF(C57=expenses_total_row, "/2", IF(C57="/2", savings_header_row, IF(C57&lt;savings_max_row, C57+1, IF(C57=savings_max_row, savings_total_row, -1)))))))))))</f>
        <v>-1</v>
      </c>
      <c r="D58" s="5">
        <f t="shared" si="19"/>
        <v>-1</v>
      </c>
      <c r="E58" s="4" cm="1">
        <f t="array" ref="E58">1*OR(row_id=income_header_row, row_id=expenses_header_row, row_id=savings_header_row)</f>
        <v>0</v>
      </c>
      <c r="F58">
        <f t="shared" si="20"/>
        <v>0</v>
      </c>
      <c r="G58" cm="1">
        <f t="array" ref="G58">1*OR(row_id=income_total_row, row_id=expenses_total_row, row_id=savings_total_row)</f>
        <v>0</v>
      </c>
      <c r="H58" s="5">
        <f t="shared" si="21"/>
        <v>1</v>
      </c>
      <c r="I58" s="4" t="str" cm="1">
        <f t="array" ref="I58">IFERROR(INDEX('Budget Planning'!$C:$C, header_row_id), "")</f>
        <v/>
      </c>
      <c r="J58" t="str" cm="1">
        <f t="array" ref="J58">IFERROR(INDEX('Budget Planning'!$C:$C, row_id), "")</f>
        <v/>
      </c>
      <c r="K58" s="52" t="str" cm="1">
        <f t="array" ref="K5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8" s="53" t="str" cm="1">
        <f t="array" ref="L58">IF(OR(is_header, is_empty), "", INDEX('Budget Planning'!$E:$EM, row_id, MATCH(IF(selected_period="Total Year", selected_year, DATE(selected_year, selected_period, 1)), 'Budget Planning'!$E$9:$EM$9, 0)))</f>
        <v/>
      </c>
      <c r="M58" s="50" t="str" cm="1">
        <f t="array" ref="M58">IF(is_category, IF(header_row_id=income_header_row, MATCH(income_min_row, $C:$C, 0), IF(header_row_id=expenses_header_row, MATCH(expenses_min_row, $C:$C, 0), IF(header_row_id=savings_header_row, MATCH(savings_min_row, $C:$C, 0), ""))), "")</f>
        <v/>
      </c>
      <c r="N58" s="51" t="str" cm="1">
        <f t="array" ref="N58">IF(is_category, IF(header_row_id=income_header_row, MATCH(income_max_row, $C:$C, 0), IF(header_row_id=expenses_header_row, MATCH(expenses_max_row, $C:$C, 0), IF(header_row_id=savings_header_row, MATCH(savings_max_row, $C:$C, 0), ""))), "")</f>
        <v/>
      </c>
      <c r="O58" s="50" t="str">
        <f t="shared" si="22"/>
        <v/>
      </c>
      <c r="P58" s="49" t="str">
        <f t="shared" ca="1" si="23"/>
        <v/>
      </c>
      <c r="Q58" s="49" t="str">
        <f t="shared" si="24"/>
        <v/>
      </c>
      <c r="R58" s="51" t="str">
        <f t="shared" ca="1" si="25"/>
        <v/>
      </c>
      <c r="S58" s="50" t="str">
        <f t="shared" si="26"/>
        <v/>
      </c>
      <c r="T58" s="49" t="str">
        <f t="shared" si="27"/>
        <v/>
      </c>
      <c r="U58" s="49" t="str">
        <f t="shared" ca="1" si="28"/>
        <v/>
      </c>
      <c r="V58" s="49" t="str">
        <f t="shared" si="29"/>
        <v/>
      </c>
      <c r="W58" s="47" t="str">
        <f t="shared" ca="1" si="30"/>
        <v/>
      </c>
      <c r="X58" s="56">
        <f t="shared" si="31"/>
        <v>-1</v>
      </c>
      <c r="Y58" s="57" t="str">
        <f t="shared" si="32"/>
        <v/>
      </c>
      <c r="Z58" s="59" t="str">
        <f t="shared" si="33"/>
        <v/>
      </c>
      <c r="AA58" s="59" t="str">
        <f t="shared" si="34"/>
        <v/>
      </c>
      <c r="AB58" s="58" t="str">
        <f t="shared" si="35"/>
        <v/>
      </c>
      <c r="AC58" s="59" t="str">
        <f t="shared" si="36"/>
        <v/>
      </c>
      <c r="AD58" s="59" t="str">
        <f t="shared" si="37"/>
        <v/>
      </c>
    </row>
    <row r="59" spans="3:30" x14ac:dyDescent="0.25">
      <c r="C59" s="4" cm="1">
        <f t="array" ref="C59">IF(C58=-1,-1, IF(C58&lt;income_max_row, C58+1, IF(C58=income_max_row, income_total_row, IF(C58=income_total_row, "/1", IF(C58="/1", expenses_header_row, IF(C58&lt;expenses_max_row, C58+1, IF(C58=expenses_max_row, expenses_total_row, IF(C58=expenses_total_row, "/2", IF(C58="/2", savings_header_row, IF(C58&lt;savings_max_row, C58+1, IF(C58=savings_max_row, savings_total_row, -1)))))))))))</f>
        <v>-1</v>
      </c>
      <c r="D59" s="5">
        <f t="shared" si="19"/>
        <v>-1</v>
      </c>
      <c r="E59" s="4" cm="1">
        <f t="array" ref="E59">1*OR(row_id=income_header_row, row_id=expenses_header_row, row_id=savings_header_row)</f>
        <v>0</v>
      </c>
      <c r="F59">
        <f t="shared" si="20"/>
        <v>0</v>
      </c>
      <c r="G59" cm="1">
        <f t="array" ref="G59">1*OR(row_id=income_total_row, row_id=expenses_total_row, row_id=savings_total_row)</f>
        <v>0</v>
      </c>
      <c r="H59" s="5">
        <f t="shared" si="21"/>
        <v>1</v>
      </c>
      <c r="I59" s="4" t="str" cm="1">
        <f t="array" ref="I59">IFERROR(INDEX('Budget Planning'!$C:$C, header_row_id), "")</f>
        <v/>
      </c>
      <c r="J59" t="str" cm="1">
        <f t="array" ref="J59">IFERROR(INDEX('Budget Planning'!$C:$C, row_id), "")</f>
        <v/>
      </c>
      <c r="K59" s="52" t="str" cm="1">
        <f t="array" ref="K5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9" s="53" t="str" cm="1">
        <f t="array" ref="L59">IF(OR(is_header, is_empty), "", INDEX('Budget Planning'!$E:$EM, row_id, MATCH(IF(selected_period="Total Year", selected_year, DATE(selected_year, selected_period, 1)), 'Budget Planning'!$E$9:$EM$9, 0)))</f>
        <v/>
      </c>
      <c r="M59" s="50" t="str" cm="1">
        <f t="array" ref="M59">IF(is_category, IF(header_row_id=income_header_row, MATCH(income_min_row, $C:$C, 0), IF(header_row_id=expenses_header_row, MATCH(expenses_min_row, $C:$C, 0), IF(header_row_id=savings_header_row, MATCH(savings_min_row, $C:$C, 0), ""))), "")</f>
        <v/>
      </c>
      <c r="N59" s="51" t="str" cm="1">
        <f t="array" ref="N59">IF(is_category, IF(header_row_id=income_header_row, MATCH(income_max_row, $C:$C, 0), IF(header_row_id=expenses_header_row, MATCH(expenses_max_row, $C:$C, 0), IF(header_row_id=savings_header_row, MATCH(savings_max_row, $C:$C, 0), ""))), "")</f>
        <v/>
      </c>
      <c r="O59" s="50" t="str">
        <f t="shared" si="22"/>
        <v/>
      </c>
      <c r="P59" s="49" t="str">
        <f t="shared" ca="1" si="23"/>
        <v/>
      </c>
      <c r="Q59" s="49" t="str">
        <f t="shared" si="24"/>
        <v/>
      </c>
      <c r="R59" s="51" t="str">
        <f t="shared" ca="1" si="25"/>
        <v/>
      </c>
      <c r="S59" s="50" t="str">
        <f t="shared" si="26"/>
        <v/>
      </c>
      <c r="T59" s="49" t="str">
        <f t="shared" si="27"/>
        <v/>
      </c>
      <c r="U59" s="49" t="str">
        <f t="shared" ca="1" si="28"/>
        <v/>
      </c>
      <c r="V59" s="49" t="str">
        <f t="shared" si="29"/>
        <v/>
      </c>
      <c r="W59" s="47" t="str">
        <f t="shared" ca="1" si="30"/>
        <v/>
      </c>
      <c r="X59" s="56">
        <f t="shared" si="31"/>
        <v>-1</v>
      </c>
      <c r="Y59" s="57" t="str">
        <f t="shared" si="32"/>
        <v/>
      </c>
      <c r="Z59" s="59" t="str">
        <f t="shared" si="33"/>
        <v/>
      </c>
      <c r="AA59" s="59" t="str">
        <f t="shared" si="34"/>
        <v/>
      </c>
      <c r="AB59" s="58" t="str">
        <f t="shared" si="35"/>
        <v/>
      </c>
      <c r="AC59" s="59" t="str">
        <f t="shared" si="36"/>
        <v/>
      </c>
      <c r="AD59" s="59" t="str">
        <f t="shared" si="37"/>
        <v/>
      </c>
    </row>
    <row r="60" spans="3:30" x14ac:dyDescent="0.25">
      <c r="C60" s="4" cm="1">
        <f t="array" ref="C60">IF(C59=-1,-1, IF(C59&lt;income_max_row, C59+1, IF(C59=income_max_row, income_total_row, IF(C59=income_total_row, "/1", IF(C59="/1", expenses_header_row, IF(C59&lt;expenses_max_row, C59+1, IF(C59=expenses_max_row, expenses_total_row, IF(C59=expenses_total_row, "/2", IF(C59="/2", savings_header_row, IF(C59&lt;savings_max_row, C59+1, IF(C59=savings_max_row, savings_total_row, -1)))))))))))</f>
        <v>-1</v>
      </c>
      <c r="D60" s="5">
        <f t="shared" si="19"/>
        <v>-1</v>
      </c>
      <c r="E60" s="4" cm="1">
        <f t="array" ref="E60">1*OR(row_id=income_header_row, row_id=expenses_header_row, row_id=savings_header_row)</f>
        <v>0</v>
      </c>
      <c r="F60">
        <f t="shared" si="20"/>
        <v>0</v>
      </c>
      <c r="G60" cm="1">
        <f t="array" ref="G60">1*OR(row_id=income_total_row, row_id=expenses_total_row, row_id=savings_total_row)</f>
        <v>0</v>
      </c>
      <c r="H60" s="5">
        <f t="shared" si="21"/>
        <v>1</v>
      </c>
      <c r="I60" s="4" t="str" cm="1">
        <f t="array" ref="I60">IFERROR(INDEX('Budget Planning'!$C:$C, header_row_id), "")</f>
        <v/>
      </c>
      <c r="J60" t="str" cm="1">
        <f t="array" ref="J60">IFERROR(INDEX('Budget Planning'!$C:$C, row_id), "")</f>
        <v/>
      </c>
      <c r="K60" s="52" t="str" cm="1">
        <f t="array" ref="K6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0" s="53" t="str" cm="1">
        <f t="array" ref="L60">IF(OR(is_header, is_empty), "", INDEX('Budget Planning'!$E:$EM, row_id, MATCH(IF(selected_period="Total Year", selected_year, DATE(selected_year, selected_period, 1)), 'Budget Planning'!$E$9:$EM$9, 0)))</f>
        <v/>
      </c>
      <c r="M60" s="50" t="str" cm="1">
        <f t="array" ref="M60">IF(is_category, IF(header_row_id=income_header_row, MATCH(income_min_row, $C:$C, 0), IF(header_row_id=expenses_header_row, MATCH(expenses_min_row, $C:$C, 0), IF(header_row_id=savings_header_row, MATCH(savings_min_row, $C:$C, 0), ""))), "")</f>
        <v/>
      </c>
      <c r="N60" s="51" t="str" cm="1">
        <f t="array" ref="N60">IF(is_category, IF(header_row_id=income_header_row, MATCH(income_max_row, $C:$C, 0), IF(header_row_id=expenses_header_row, MATCH(expenses_max_row, $C:$C, 0), IF(header_row_id=savings_header_row, MATCH(savings_max_row, $C:$C, 0), ""))), "")</f>
        <v/>
      </c>
      <c r="O60" s="50" t="str">
        <f t="shared" si="22"/>
        <v/>
      </c>
      <c r="P60" s="49" t="str">
        <f t="shared" ca="1" si="23"/>
        <v/>
      </c>
      <c r="Q60" s="49" t="str">
        <f t="shared" si="24"/>
        <v/>
      </c>
      <c r="R60" s="51" t="str">
        <f t="shared" ca="1" si="25"/>
        <v/>
      </c>
      <c r="S60" s="50" t="str">
        <f t="shared" si="26"/>
        <v/>
      </c>
      <c r="T60" s="49" t="str">
        <f t="shared" si="27"/>
        <v/>
      </c>
      <c r="U60" s="49" t="str">
        <f t="shared" ca="1" si="28"/>
        <v/>
      </c>
      <c r="V60" s="49" t="str">
        <f t="shared" si="29"/>
        <v/>
      </c>
      <c r="W60" s="47" t="str">
        <f t="shared" ca="1" si="30"/>
        <v/>
      </c>
      <c r="X60" s="56">
        <f t="shared" si="31"/>
        <v>-1</v>
      </c>
      <c r="Y60" s="57" t="str">
        <f t="shared" si="32"/>
        <v/>
      </c>
      <c r="Z60" s="59" t="str">
        <f t="shared" si="33"/>
        <v/>
      </c>
      <c r="AA60" s="59" t="str">
        <f t="shared" si="34"/>
        <v/>
      </c>
      <c r="AB60" s="58" t="str">
        <f t="shared" si="35"/>
        <v/>
      </c>
      <c r="AC60" s="59" t="str">
        <f t="shared" si="36"/>
        <v/>
      </c>
      <c r="AD60" s="59" t="str">
        <f t="shared" si="37"/>
        <v/>
      </c>
    </row>
    <row r="61" spans="3:30" x14ac:dyDescent="0.25">
      <c r="C61" s="4" cm="1">
        <f t="array" ref="C61">IF(C60=-1,-1, IF(C60&lt;income_max_row, C60+1, IF(C60=income_max_row, income_total_row, IF(C60=income_total_row, "/1", IF(C60="/1", expenses_header_row, IF(C60&lt;expenses_max_row, C60+1, IF(C60=expenses_max_row, expenses_total_row, IF(C60=expenses_total_row, "/2", IF(C60="/2", savings_header_row, IF(C60&lt;savings_max_row, C60+1, IF(C60=savings_max_row, savings_total_row, -1)))))))))))</f>
        <v>-1</v>
      </c>
      <c r="D61" s="5">
        <f t="shared" si="19"/>
        <v>-1</v>
      </c>
      <c r="E61" s="4" cm="1">
        <f t="array" ref="E61">1*OR(row_id=income_header_row, row_id=expenses_header_row, row_id=savings_header_row)</f>
        <v>0</v>
      </c>
      <c r="F61">
        <f t="shared" si="20"/>
        <v>0</v>
      </c>
      <c r="G61" cm="1">
        <f t="array" ref="G61">1*OR(row_id=income_total_row, row_id=expenses_total_row, row_id=savings_total_row)</f>
        <v>0</v>
      </c>
      <c r="H61" s="5">
        <f t="shared" si="21"/>
        <v>1</v>
      </c>
      <c r="I61" s="4" t="str" cm="1">
        <f t="array" ref="I61">IFERROR(INDEX('Budget Planning'!$C:$C, header_row_id), "")</f>
        <v/>
      </c>
      <c r="J61" t="str" cm="1">
        <f t="array" ref="J61">IFERROR(INDEX('Budget Planning'!$C:$C, row_id), "")</f>
        <v/>
      </c>
      <c r="K61" s="52" t="str" cm="1">
        <f t="array" ref="K6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1" s="53" t="str" cm="1">
        <f t="array" ref="L61">IF(OR(is_header, is_empty), "", INDEX('Budget Planning'!$E:$EM, row_id, MATCH(IF(selected_period="Total Year", selected_year, DATE(selected_year, selected_period, 1)), 'Budget Planning'!$E$9:$EM$9, 0)))</f>
        <v/>
      </c>
      <c r="M61" s="50" t="str" cm="1">
        <f t="array" ref="M61">IF(is_category, IF(header_row_id=income_header_row, MATCH(income_min_row, $C:$C, 0), IF(header_row_id=expenses_header_row, MATCH(expenses_min_row, $C:$C, 0), IF(header_row_id=savings_header_row, MATCH(savings_min_row, $C:$C, 0), ""))), "")</f>
        <v/>
      </c>
      <c r="N61" s="51" t="str" cm="1">
        <f t="array" ref="N61">IF(is_category, IF(header_row_id=income_header_row, MATCH(income_max_row, $C:$C, 0), IF(header_row_id=expenses_header_row, MATCH(expenses_max_row, $C:$C, 0), IF(header_row_id=savings_header_row, MATCH(savings_max_row, $C:$C, 0), ""))), "")</f>
        <v/>
      </c>
      <c r="O61" s="50" t="str">
        <f t="shared" si="22"/>
        <v/>
      </c>
      <c r="P61" s="49" t="str">
        <f t="shared" ca="1" si="23"/>
        <v/>
      </c>
      <c r="Q61" s="49" t="str">
        <f t="shared" si="24"/>
        <v/>
      </c>
      <c r="R61" s="51" t="str">
        <f t="shared" ca="1" si="25"/>
        <v/>
      </c>
      <c r="S61" s="50" t="str">
        <f t="shared" si="26"/>
        <v/>
      </c>
      <c r="T61" s="49" t="str">
        <f t="shared" si="27"/>
        <v/>
      </c>
      <c r="U61" s="49" t="str">
        <f t="shared" ca="1" si="28"/>
        <v/>
      </c>
      <c r="V61" s="49" t="str">
        <f t="shared" si="29"/>
        <v/>
      </c>
      <c r="W61" s="47" t="str">
        <f t="shared" ca="1" si="30"/>
        <v/>
      </c>
      <c r="X61" s="56">
        <f t="shared" si="31"/>
        <v>-1</v>
      </c>
      <c r="Y61" s="57" t="str">
        <f t="shared" si="32"/>
        <v/>
      </c>
      <c r="Z61" s="59" t="str">
        <f t="shared" si="33"/>
        <v/>
      </c>
      <c r="AA61" s="59" t="str">
        <f t="shared" si="34"/>
        <v/>
      </c>
      <c r="AB61" s="58" t="str">
        <f t="shared" si="35"/>
        <v/>
      </c>
      <c r="AC61" s="59" t="str">
        <f t="shared" si="36"/>
        <v/>
      </c>
      <c r="AD61" s="59" t="str">
        <f t="shared" si="37"/>
        <v/>
      </c>
    </row>
    <row r="62" spans="3:30" x14ac:dyDescent="0.25">
      <c r="C62" s="4" cm="1">
        <f t="array" ref="C62">IF(C61=-1,-1, IF(C61&lt;income_max_row, C61+1, IF(C61=income_max_row, income_total_row, IF(C61=income_total_row, "/1", IF(C61="/1", expenses_header_row, IF(C61&lt;expenses_max_row, C61+1, IF(C61=expenses_max_row, expenses_total_row, IF(C61=expenses_total_row, "/2", IF(C61="/2", savings_header_row, IF(C61&lt;savings_max_row, C61+1, IF(C61=savings_max_row, savings_total_row, -1)))))))))))</f>
        <v>-1</v>
      </c>
      <c r="D62" s="5">
        <f t="shared" si="19"/>
        <v>-1</v>
      </c>
      <c r="E62" s="4" cm="1">
        <f t="array" ref="E62">1*OR(row_id=income_header_row, row_id=expenses_header_row, row_id=savings_header_row)</f>
        <v>0</v>
      </c>
      <c r="F62">
        <f t="shared" si="20"/>
        <v>0</v>
      </c>
      <c r="G62" cm="1">
        <f t="array" ref="G62">1*OR(row_id=income_total_row, row_id=expenses_total_row, row_id=savings_total_row)</f>
        <v>0</v>
      </c>
      <c r="H62" s="5">
        <f t="shared" si="21"/>
        <v>1</v>
      </c>
      <c r="I62" s="4" t="str" cm="1">
        <f t="array" ref="I62">IFERROR(INDEX('Budget Planning'!$C:$C, header_row_id), "")</f>
        <v/>
      </c>
      <c r="J62" t="str" cm="1">
        <f t="array" ref="J62">IFERROR(INDEX('Budget Planning'!$C:$C, row_id), "")</f>
        <v/>
      </c>
      <c r="K62" s="52" t="str" cm="1">
        <f t="array" ref="K6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2" s="53" t="str" cm="1">
        <f t="array" ref="L62">IF(OR(is_header, is_empty), "", INDEX('Budget Planning'!$E:$EM, row_id, MATCH(IF(selected_period="Total Year", selected_year, DATE(selected_year, selected_period, 1)), 'Budget Planning'!$E$9:$EM$9, 0)))</f>
        <v/>
      </c>
      <c r="M62" s="50" t="str" cm="1">
        <f t="array" ref="M62">IF(is_category, IF(header_row_id=income_header_row, MATCH(income_min_row, $C:$C, 0), IF(header_row_id=expenses_header_row, MATCH(expenses_min_row, $C:$C, 0), IF(header_row_id=savings_header_row, MATCH(savings_min_row, $C:$C, 0), ""))), "")</f>
        <v/>
      </c>
      <c r="N62" s="51" t="str" cm="1">
        <f t="array" ref="N62">IF(is_category, IF(header_row_id=income_header_row, MATCH(income_max_row, $C:$C, 0), IF(header_row_id=expenses_header_row, MATCH(expenses_max_row, $C:$C, 0), IF(header_row_id=savings_header_row, MATCH(savings_max_row, $C:$C, 0), ""))), "")</f>
        <v/>
      </c>
      <c r="O62" s="50" t="str">
        <f t="shared" si="22"/>
        <v/>
      </c>
      <c r="P62" s="49" t="str">
        <f t="shared" ca="1" si="23"/>
        <v/>
      </c>
      <c r="Q62" s="49" t="str">
        <f t="shared" si="24"/>
        <v/>
      </c>
      <c r="R62" s="51" t="str">
        <f t="shared" ca="1" si="25"/>
        <v/>
      </c>
      <c r="S62" s="50" t="str">
        <f t="shared" si="26"/>
        <v/>
      </c>
      <c r="T62" s="49" t="str">
        <f t="shared" si="27"/>
        <v/>
      </c>
      <c r="U62" s="49" t="str">
        <f t="shared" ca="1" si="28"/>
        <v/>
      </c>
      <c r="V62" s="49" t="str">
        <f t="shared" si="29"/>
        <v/>
      </c>
      <c r="W62" s="47" t="str">
        <f t="shared" ca="1" si="30"/>
        <v/>
      </c>
      <c r="X62" s="56">
        <f t="shared" si="31"/>
        <v>-1</v>
      </c>
      <c r="Y62" s="57" t="str">
        <f t="shared" si="32"/>
        <v/>
      </c>
      <c r="Z62" s="59" t="str">
        <f t="shared" si="33"/>
        <v/>
      </c>
      <c r="AA62" s="59" t="str">
        <f t="shared" si="34"/>
        <v/>
      </c>
      <c r="AB62" s="58" t="str">
        <f t="shared" si="35"/>
        <v/>
      </c>
      <c r="AC62" s="59" t="str">
        <f t="shared" si="36"/>
        <v/>
      </c>
      <c r="AD62" s="59" t="str">
        <f t="shared" si="37"/>
        <v/>
      </c>
    </row>
    <row r="63" spans="3:30" x14ac:dyDescent="0.25">
      <c r="C63" s="4" cm="1">
        <f t="array" ref="C63">IF(C62=-1,-1, IF(C62&lt;income_max_row, C62+1, IF(C62=income_max_row, income_total_row, IF(C62=income_total_row, "/1", IF(C62="/1", expenses_header_row, IF(C62&lt;expenses_max_row, C62+1, IF(C62=expenses_max_row, expenses_total_row, IF(C62=expenses_total_row, "/2", IF(C62="/2", savings_header_row, IF(C62&lt;savings_max_row, C62+1, IF(C62=savings_max_row, savings_total_row, -1)))))))))))</f>
        <v>-1</v>
      </c>
      <c r="D63" s="5">
        <f t="shared" si="19"/>
        <v>-1</v>
      </c>
      <c r="E63" s="4" cm="1">
        <f t="array" ref="E63">1*OR(row_id=income_header_row, row_id=expenses_header_row, row_id=savings_header_row)</f>
        <v>0</v>
      </c>
      <c r="F63">
        <f t="shared" si="20"/>
        <v>0</v>
      </c>
      <c r="G63" cm="1">
        <f t="array" ref="G63">1*OR(row_id=income_total_row, row_id=expenses_total_row, row_id=savings_total_row)</f>
        <v>0</v>
      </c>
      <c r="H63" s="5">
        <f t="shared" si="21"/>
        <v>1</v>
      </c>
      <c r="I63" s="4" t="str" cm="1">
        <f t="array" ref="I63">IFERROR(INDEX('Budget Planning'!$C:$C, header_row_id), "")</f>
        <v/>
      </c>
      <c r="J63" t="str" cm="1">
        <f t="array" ref="J63">IFERROR(INDEX('Budget Planning'!$C:$C, row_id), "")</f>
        <v/>
      </c>
      <c r="K63" s="52" t="str" cm="1">
        <f t="array" ref="K6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3" s="53" t="str" cm="1">
        <f t="array" ref="L63">IF(OR(is_header, is_empty), "", INDEX('Budget Planning'!$E:$EM, row_id, MATCH(IF(selected_period="Total Year", selected_year, DATE(selected_year, selected_period, 1)), 'Budget Planning'!$E$9:$EM$9, 0)))</f>
        <v/>
      </c>
      <c r="M63" s="50" t="str" cm="1">
        <f t="array" ref="M63">IF(is_category, IF(header_row_id=income_header_row, MATCH(income_min_row, $C:$C, 0), IF(header_row_id=expenses_header_row, MATCH(expenses_min_row, $C:$C, 0), IF(header_row_id=savings_header_row, MATCH(savings_min_row, $C:$C, 0), ""))), "")</f>
        <v/>
      </c>
      <c r="N63" s="51" t="str" cm="1">
        <f t="array" ref="N63">IF(is_category, IF(header_row_id=income_header_row, MATCH(income_max_row, $C:$C, 0), IF(header_row_id=expenses_header_row, MATCH(expenses_max_row, $C:$C, 0), IF(header_row_id=savings_header_row, MATCH(savings_max_row, $C:$C, 0), ""))), "")</f>
        <v/>
      </c>
      <c r="O63" s="50" t="str">
        <f t="shared" si="22"/>
        <v/>
      </c>
      <c r="P63" s="49" t="str">
        <f t="shared" ca="1" si="23"/>
        <v/>
      </c>
      <c r="Q63" s="49" t="str">
        <f t="shared" si="24"/>
        <v/>
      </c>
      <c r="R63" s="51" t="str">
        <f t="shared" ca="1" si="25"/>
        <v/>
      </c>
      <c r="S63" s="50" t="str">
        <f t="shared" si="26"/>
        <v/>
      </c>
      <c r="T63" s="49" t="str">
        <f t="shared" si="27"/>
        <v/>
      </c>
      <c r="U63" s="49" t="str">
        <f t="shared" ca="1" si="28"/>
        <v/>
      </c>
      <c r="V63" s="49" t="str">
        <f t="shared" si="29"/>
        <v/>
      </c>
      <c r="W63" s="47" t="str">
        <f t="shared" ca="1" si="30"/>
        <v/>
      </c>
      <c r="X63" s="56">
        <f t="shared" si="31"/>
        <v>-1</v>
      </c>
      <c r="Y63" s="57" t="str">
        <f t="shared" si="32"/>
        <v/>
      </c>
      <c r="Z63" s="59" t="str">
        <f t="shared" si="33"/>
        <v/>
      </c>
      <c r="AA63" s="59" t="str">
        <f t="shared" si="34"/>
        <v/>
      </c>
      <c r="AB63" s="58" t="str">
        <f t="shared" si="35"/>
        <v/>
      </c>
      <c r="AC63" s="59" t="str">
        <f t="shared" si="36"/>
        <v/>
      </c>
      <c r="AD63" s="59" t="str">
        <f t="shared" si="37"/>
        <v/>
      </c>
    </row>
    <row r="64" spans="3:30" x14ac:dyDescent="0.25">
      <c r="C64" s="4" cm="1">
        <f t="array" ref="C64">IF(C63=-1,-1, IF(C63&lt;income_max_row, C63+1, IF(C63=income_max_row, income_total_row, IF(C63=income_total_row, "/1", IF(C63="/1", expenses_header_row, IF(C63&lt;expenses_max_row, C63+1, IF(C63=expenses_max_row, expenses_total_row, IF(C63=expenses_total_row, "/2", IF(C63="/2", savings_header_row, IF(C63&lt;savings_max_row, C63+1, IF(C63=savings_max_row, savings_total_row, -1)))))))))))</f>
        <v>-1</v>
      </c>
      <c r="D64" s="5">
        <f t="shared" si="19"/>
        <v>-1</v>
      </c>
      <c r="E64" s="4" cm="1">
        <f t="array" ref="E64">1*OR(row_id=income_header_row, row_id=expenses_header_row, row_id=savings_header_row)</f>
        <v>0</v>
      </c>
      <c r="F64">
        <f t="shared" si="20"/>
        <v>0</v>
      </c>
      <c r="G64" cm="1">
        <f t="array" ref="G64">1*OR(row_id=income_total_row, row_id=expenses_total_row, row_id=savings_total_row)</f>
        <v>0</v>
      </c>
      <c r="H64" s="5">
        <f t="shared" si="21"/>
        <v>1</v>
      </c>
      <c r="I64" s="4" t="str" cm="1">
        <f t="array" ref="I64">IFERROR(INDEX('Budget Planning'!$C:$C, header_row_id), "")</f>
        <v/>
      </c>
      <c r="J64" t="str" cm="1">
        <f t="array" ref="J64">IFERROR(INDEX('Budget Planning'!$C:$C, row_id), "")</f>
        <v/>
      </c>
      <c r="K64" s="52" t="str" cm="1">
        <f t="array" ref="K6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4" s="53" t="str" cm="1">
        <f t="array" ref="L64">IF(OR(is_header, is_empty), "", INDEX('Budget Planning'!$E:$EM, row_id, MATCH(IF(selected_period="Total Year", selected_year, DATE(selected_year, selected_period, 1)), 'Budget Planning'!$E$9:$EM$9, 0)))</f>
        <v/>
      </c>
      <c r="M64" s="50" t="str" cm="1">
        <f t="array" ref="M64">IF(is_category, IF(header_row_id=income_header_row, MATCH(income_min_row, $C:$C, 0), IF(header_row_id=expenses_header_row, MATCH(expenses_min_row, $C:$C, 0), IF(header_row_id=savings_header_row, MATCH(savings_min_row, $C:$C, 0), ""))), "")</f>
        <v/>
      </c>
      <c r="N64" s="51" t="str" cm="1">
        <f t="array" ref="N64">IF(is_category, IF(header_row_id=income_header_row, MATCH(income_max_row, $C:$C, 0), IF(header_row_id=expenses_header_row, MATCH(expenses_max_row, $C:$C, 0), IF(header_row_id=savings_header_row, MATCH(savings_max_row, $C:$C, 0), ""))), "")</f>
        <v/>
      </c>
      <c r="O64" s="50" t="str">
        <f t="shared" si="22"/>
        <v/>
      </c>
      <c r="P64" s="49" t="str">
        <f t="shared" ca="1" si="23"/>
        <v/>
      </c>
      <c r="Q64" s="49" t="str">
        <f t="shared" si="24"/>
        <v/>
      </c>
      <c r="R64" s="51" t="str">
        <f t="shared" ca="1" si="25"/>
        <v/>
      </c>
      <c r="S64" s="50" t="str">
        <f t="shared" si="26"/>
        <v/>
      </c>
      <c r="T64" s="49" t="str">
        <f t="shared" si="27"/>
        <v/>
      </c>
      <c r="U64" s="49" t="str">
        <f t="shared" ca="1" si="28"/>
        <v/>
      </c>
      <c r="V64" s="49" t="str">
        <f t="shared" si="29"/>
        <v/>
      </c>
      <c r="W64" s="47" t="str">
        <f t="shared" ca="1" si="30"/>
        <v/>
      </c>
      <c r="X64" s="56">
        <f t="shared" si="31"/>
        <v>-1</v>
      </c>
      <c r="Y64" s="57" t="str">
        <f t="shared" si="32"/>
        <v/>
      </c>
      <c r="Z64" s="59" t="str">
        <f t="shared" si="33"/>
        <v/>
      </c>
      <c r="AA64" s="59" t="str">
        <f t="shared" si="34"/>
        <v/>
      </c>
      <c r="AB64" s="58" t="str">
        <f t="shared" si="35"/>
        <v/>
      </c>
      <c r="AC64" s="59" t="str">
        <f t="shared" si="36"/>
        <v/>
      </c>
      <c r="AD64" s="59" t="str">
        <f t="shared" si="37"/>
        <v/>
      </c>
    </row>
    <row r="65" spans="3:30" x14ac:dyDescent="0.25">
      <c r="C65" s="4" cm="1">
        <f t="array" ref="C65">IF(C64=-1,-1, IF(C64&lt;income_max_row, C64+1, IF(C64=income_max_row, income_total_row, IF(C64=income_total_row, "/1", IF(C64="/1", expenses_header_row, IF(C64&lt;expenses_max_row, C64+1, IF(C64=expenses_max_row, expenses_total_row, IF(C64=expenses_total_row, "/2", IF(C64="/2", savings_header_row, IF(C64&lt;savings_max_row, C64+1, IF(C64=savings_max_row, savings_total_row, -1)))))))))))</f>
        <v>-1</v>
      </c>
      <c r="D65" s="5">
        <f t="shared" si="19"/>
        <v>-1</v>
      </c>
      <c r="E65" s="4" cm="1">
        <f t="array" ref="E65">1*OR(row_id=income_header_row, row_id=expenses_header_row, row_id=savings_header_row)</f>
        <v>0</v>
      </c>
      <c r="F65">
        <f t="shared" si="20"/>
        <v>0</v>
      </c>
      <c r="G65" cm="1">
        <f t="array" ref="G65">1*OR(row_id=income_total_row, row_id=expenses_total_row, row_id=savings_total_row)</f>
        <v>0</v>
      </c>
      <c r="H65" s="5">
        <f t="shared" si="21"/>
        <v>1</v>
      </c>
      <c r="I65" s="4" t="str" cm="1">
        <f t="array" ref="I65">IFERROR(INDEX('Budget Planning'!$C:$C, header_row_id), "")</f>
        <v/>
      </c>
      <c r="J65" t="str" cm="1">
        <f t="array" ref="J65">IFERROR(INDEX('Budget Planning'!$C:$C, row_id), "")</f>
        <v/>
      </c>
      <c r="K65" s="52" t="str" cm="1">
        <f t="array" ref="K6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5" s="53" t="str" cm="1">
        <f t="array" ref="L65">IF(OR(is_header, is_empty), "", INDEX('Budget Planning'!$E:$EM, row_id, MATCH(IF(selected_period="Total Year", selected_year, DATE(selected_year, selected_period, 1)), 'Budget Planning'!$E$9:$EM$9, 0)))</f>
        <v/>
      </c>
      <c r="M65" s="50" t="str" cm="1">
        <f t="array" ref="M65">IF(is_category, IF(header_row_id=income_header_row, MATCH(income_min_row, $C:$C, 0), IF(header_row_id=expenses_header_row, MATCH(expenses_min_row, $C:$C, 0), IF(header_row_id=savings_header_row, MATCH(savings_min_row, $C:$C, 0), ""))), "")</f>
        <v/>
      </c>
      <c r="N65" s="51" t="str" cm="1">
        <f t="array" ref="N65">IF(is_category, IF(header_row_id=income_header_row, MATCH(income_max_row, $C:$C, 0), IF(header_row_id=expenses_header_row, MATCH(expenses_max_row, $C:$C, 0), IF(header_row_id=savings_header_row, MATCH(savings_max_row, $C:$C, 0), ""))), "")</f>
        <v/>
      </c>
      <c r="O65" s="50" t="str">
        <f t="shared" si="22"/>
        <v/>
      </c>
      <c r="P65" s="49" t="str">
        <f t="shared" ca="1" si="23"/>
        <v/>
      </c>
      <c r="Q65" s="49" t="str">
        <f t="shared" si="24"/>
        <v/>
      </c>
      <c r="R65" s="51" t="str">
        <f t="shared" ca="1" si="25"/>
        <v/>
      </c>
      <c r="S65" s="50" t="str">
        <f t="shared" si="26"/>
        <v/>
      </c>
      <c r="T65" s="49" t="str">
        <f t="shared" si="27"/>
        <v/>
      </c>
      <c r="U65" s="49" t="str">
        <f t="shared" ca="1" si="28"/>
        <v/>
      </c>
      <c r="V65" s="49" t="str">
        <f t="shared" si="29"/>
        <v/>
      </c>
      <c r="W65" s="47" t="str">
        <f t="shared" ca="1" si="30"/>
        <v/>
      </c>
      <c r="X65" s="56">
        <f t="shared" si="31"/>
        <v>-1</v>
      </c>
      <c r="Y65" s="57" t="str">
        <f t="shared" si="32"/>
        <v/>
      </c>
      <c r="Z65" s="59" t="str">
        <f t="shared" si="33"/>
        <v/>
      </c>
      <c r="AA65" s="59" t="str">
        <f t="shared" si="34"/>
        <v/>
      </c>
      <c r="AB65" s="58" t="str">
        <f t="shared" si="35"/>
        <v/>
      </c>
      <c r="AC65" s="59" t="str">
        <f t="shared" si="36"/>
        <v/>
      </c>
      <c r="AD65" s="59" t="str">
        <f t="shared" si="37"/>
        <v/>
      </c>
    </row>
    <row r="66" spans="3:30" x14ac:dyDescent="0.25">
      <c r="C66" s="4" cm="1">
        <f t="array" ref="C66">IF(C65=-1,-1, IF(C65&lt;income_max_row, C65+1, IF(C65=income_max_row, income_total_row, IF(C65=income_total_row, "/1", IF(C65="/1", expenses_header_row, IF(C65&lt;expenses_max_row, C65+1, IF(C65=expenses_max_row, expenses_total_row, IF(C65=expenses_total_row, "/2", IF(C65="/2", savings_header_row, IF(C65&lt;savings_max_row, C65+1, IF(C65=savings_max_row, savings_total_row, -1)))))))))))</f>
        <v>-1</v>
      </c>
      <c r="D66" s="5">
        <f t="shared" si="19"/>
        <v>-1</v>
      </c>
      <c r="E66" s="4" cm="1">
        <f t="array" ref="E66">1*OR(row_id=income_header_row, row_id=expenses_header_row, row_id=savings_header_row)</f>
        <v>0</v>
      </c>
      <c r="F66">
        <f t="shared" si="20"/>
        <v>0</v>
      </c>
      <c r="G66" cm="1">
        <f t="array" ref="G66">1*OR(row_id=income_total_row, row_id=expenses_total_row, row_id=savings_total_row)</f>
        <v>0</v>
      </c>
      <c r="H66" s="5">
        <f t="shared" si="21"/>
        <v>1</v>
      </c>
      <c r="I66" s="4" t="str" cm="1">
        <f t="array" ref="I66">IFERROR(INDEX('Budget Planning'!$C:$C, header_row_id), "")</f>
        <v/>
      </c>
      <c r="J66" t="str" cm="1">
        <f t="array" ref="J66">IFERROR(INDEX('Budget Planning'!$C:$C, row_id), "")</f>
        <v/>
      </c>
      <c r="K66" s="52" t="str" cm="1">
        <f t="array" ref="K6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6" s="53" t="str" cm="1">
        <f t="array" ref="L66">IF(OR(is_header, is_empty), "", INDEX('Budget Planning'!$E:$EM, row_id, MATCH(IF(selected_period="Total Year", selected_year, DATE(selected_year, selected_period, 1)), 'Budget Planning'!$E$9:$EM$9, 0)))</f>
        <v/>
      </c>
      <c r="M66" s="50" t="str" cm="1">
        <f t="array" ref="M66">IF(is_category, IF(header_row_id=income_header_row, MATCH(income_min_row, $C:$C, 0), IF(header_row_id=expenses_header_row, MATCH(expenses_min_row, $C:$C, 0), IF(header_row_id=savings_header_row, MATCH(savings_min_row, $C:$C, 0), ""))), "")</f>
        <v/>
      </c>
      <c r="N66" s="51" t="str" cm="1">
        <f t="array" ref="N66">IF(is_category, IF(header_row_id=income_header_row, MATCH(income_max_row, $C:$C, 0), IF(header_row_id=expenses_header_row, MATCH(expenses_max_row, $C:$C, 0), IF(header_row_id=savings_header_row, MATCH(savings_max_row, $C:$C, 0), ""))), "")</f>
        <v/>
      </c>
      <c r="O66" s="50" t="str">
        <f t="shared" si="22"/>
        <v/>
      </c>
      <c r="P66" s="49" t="str">
        <f t="shared" ca="1" si="23"/>
        <v/>
      </c>
      <c r="Q66" s="49" t="str">
        <f t="shared" si="24"/>
        <v/>
      </c>
      <c r="R66" s="51" t="str">
        <f t="shared" ca="1" si="25"/>
        <v/>
      </c>
      <c r="S66" s="50" t="str">
        <f t="shared" si="26"/>
        <v/>
      </c>
      <c r="T66" s="49" t="str">
        <f t="shared" si="27"/>
        <v/>
      </c>
      <c r="U66" s="49" t="str">
        <f t="shared" ca="1" si="28"/>
        <v/>
      </c>
      <c r="V66" s="49" t="str">
        <f t="shared" si="29"/>
        <v/>
      </c>
      <c r="W66" s="47" t="str">
        <f t="shared" ca="1" si="30"/>
        <v/>
      </c>
      <c r="X66" s="56">
        <f t="shared" si="31"/>
        <v>-1</v>
      </c>
      <c r="Y66" s="57" t="str">
        <f t="shared" si="32"/>
        <v/>
      </c>
      <c r="Z66" s="59" t="str">
        <f t="shared" si="33"/>
        <v/>
      </c>
      <c r="AA66" s="59" t="str">
        <f t="shared" si="34"/>
        <v/>
      </c>
      <c r="AB66" s="58" t="str">
        <f t="shared" si="35"/>
        <v/>
      </c>
      <c r="AC66" s="59" t="str">
        <f t="shared" si="36"/>
        <v/>
      </c>
      <c r="AD66" s="59" t="str">
        <f t="shared" si="37"/>
        <v/>
      </c>
    </row>
    <row r="67" spans="3:30" x14ac:dyDescent="0.25">
      <c r="C67" s="4" cm="1">
        <f t="array" ref="C67">IF(C66=-1,-1, IF(C66&lt;income_max_row, C66+1, IF(C66=income_max_row, income_total_row, IF(C66=income_total_row, "/1", IF(C66="/1", expenses_header_row, IF(C66&lt;expenses_max_row, C66+1, IF(C66=expenses_max_row, expenses_total_row, IF(C66=expenses_total_row, "/2", IF(C66="/2", savings_header_row, IF(C66&lt;savings_max_row, C66+1, IF(C66=savings_max_row, savings_total_row, -1)))))))))))</f>
        <v>-1</v>
      </c>
      <c r="D67" s="5">
        <f t="shared" si="19"/>
        <v>-1</v>
      </c>
      <c r="E67" s="4" cm="1">
        <f t="array" ref="E67">1*OR(row_id=income_header_row, row_id=expenses_header_row, row_id=savings_header_row)</f>
        <v>0</v>
      </c>
      <c r="F67">
        <f t="shared" si="20"/>
        <v>0</v>
      </c>
      <c r="G67" cm="1">
        <f t="array" ref="G67">1*OR(row_id=income_total_row, row_id=expenses_total_row, row_id=savings_total_row)</f>
        <v>0</v>
      </c>
      <c r="H67" s="5">
        <f t="shared" si="21"/>
        <v>1</v>
      </c>
      <c r="I67" s="4" t="str" cm="1">
        <f t="array" ref="I67">IFERROR(INDEX('Budget Planning'!$C:$C, header_row_id), "")</f>
        <v/>
      </c>
      <c r="J67" t="str" cm="1">
        <f t="array" ref="J67">IFERROR(INDEX('Budget Planning'!$C:$C, row_id), "")</f>
        <v/>
      </c>
      <c r="K67" s="52" t="str" cm="1">
        <f t="array" ref="K6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7" s="53" t="str" cm="1">
        <f t="array" ref="L67">IF(OR(is_header, is_empty), "", INDEX('Budget Planning'!$E:$EM, row_id, MATCH(IF(selected_period="Total Year", selected_year, DATE(selected_year, selected_period, 1)), 'Budget Planning'!$E$9:$EM$9, 0)))</f>
        <v/>
      </c>
      <c r="M67" s="50" t="str" cm="1">
        <f t="array" ref="M67">IF(is_category, IF(header_row_id=income_header_row, MATCH(income_min_row, $C:$C, 0), IF(header_row_id=expenses_header_row, MATCH(expenses_min_row, $C:$C, 0), IF(header_row_id=savings_header_row, MATCH(savings_min_row, $C:$C, 0), ""))), "")</f>
        <v/>
      </c>
      <c r="N67" s="51" t="str" cm="1">
        <f t="array" ref="N67">IF(is_category, IF(header_row_id=income_header_row, MATCH(income_max_row, $C:$C, 0), IF(header_row_id=expenses_header_row, MATCH(expenses_max_row, $C:$C, 0), IF(header_row_id=savings_header_row, MATCH(savings_max_row, $C:$C, 0), ""))), "")</f>
        <v/>
      </c>
      <c r="O67" s="50" t="str">
        <f t="shared" si="22"/>
        <v/>
      </c>
      <c r="P67" s="49" t="str">
        <f t="shared" ca="1" si="23"/>
        <v/>
      </c>
      <c r="Q67" s="49" t="str">
        <f t="shared" si="24"/>
        <v/>
      </c>
      <c r="R67" s="51" t="str">
        <f t="shared" ca="1" si="25"/>
        <v/>
      </c>
      <c r="S67" s="50" t="str">
        <f t="shared" si="26"/>
        <v/>
      </c>
      <c r="T67" s="49" t="str">
        <f t="shared" si="27"/>
        <v/>
      </c>
      <c r="U67" s="49" t="str">
        <f t="shared" ca="1" si="28"/>
        <v/>
      </c>
      <c r="V67" s="49" t="str">
        <f t="shared" si="29"/>
        <v/>
      </c>
      <c r="W67" s="47" t="str">
        <f t="shared" ca="1" si="30"/>
        <v/>
      </c>
      <c r="X67" s="56">
        <f t="shared" si="31"/>
        <v>-1</v>
      </c>
      <c r="Y67" s="57" t="str">
        <f t="shared" si="32"/>
        <v/>
      </c>
      <c r="Z67" s="59" t="str">
        <f t="shared" si="33"/>
        <v/>
      </c>
      <c r="AA67" s="59" t="str">
        <f t="shared" si="34"/>
        <v/>
      </c>
      <c r="AB67" s="58" t="str">
        <f t="shared" si="35"/>
        <v/>
      </c>
      <c r="AC67" s="59" t="str">
        <f t="shared" si="36"/>
        <v/>
      </c>
      <c r="AD67" s="59" t="str">
        <f t="shared" si="37"/>
        <v/>
      </c>
    </row>
    <row r="68" spans="3:30" x14ac:dyDescent="0.25">
      <c r="C68" s="4" cm="1">
        <f t="array" ref="C68">IF(C67=-1,-1, IF(C67&lt;income_max_row, C67+1, IF(C67=income_max_row, income_total_row, IF(C67=income_total_row, "/1", IF(C67="/1", expenses_header_row, IF(C67&lt;expenses_max_row, C67+1, IF(C67=expenses_max_row, expenses_total_row, IF(C67=expenses_total_row, "/2", IF(C67="/2", savings_header_row, IF(C67&lt;savings_max_row, C67+1, IF(C67=savings_max_row, savings_total_row, -1)))))))))))</f>
        <v>-1</v>
      </c>
      <c r="D68" s="5">
        <f t="shared" si="19"/>
        <v>-1</v>
      </c>
      <c r="E68" s="4" cm="1">
        <f t="array" ref="E68">1*OR(row_id=income_header_row, row_id=expenses_header_row, row_id=savings_header_row)</f>
        <v>0</v>
      </c>
      <c r="F68">
        <f t="shared" si="20"/>
        <v>0</v>
      </c>
      <c r="G68" cm="1">
        <f t="array" ref="G68">1*OR(row_id=income_total_row, row_id=expenses_total_row, row_id=savings_total_row)</f>
        <v>0</v>
      </c>
      <c r="H68" s="5">
        <f t="shared" si="21"/>
        <v>1</v>
      </c>
      <c r="I68" s="4" t="str" cm="1">
        <f t="array" ref="I68">IFERROR(INDEX('Budget Planning'!$C:$C, header_row_id), "")</f>
        <v/>
      </c>
      <c r="J68" t="str" cm="1">
        <f t="array" ref="J68">IFERROR(INDEX('Budget Planning'!$C:$C, row_id), "")</f>
        <v/>
      </c>
      <c r="K68" s="52" t="str" cm="1">
        <f t="array" ref="K6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8" s="53" t="str" cm="1">
        <f t="array" ref="L68">IF(OR(is_header, is_empty), "", INDEX('Budget Planning'!$E:$EM, row_id, MATCH(IF(selected_period="Total Year", selected_year, DATE(selected_year, selected_period, 1)), 'Budget Planning'!$E$9:$EM$9, 0)))</f>
        <v/>
      </c>
      <c r="M68" s="50" t="str" cm="1">
        <f t="array" ref="M68">IF(is_category, IF(header_row_id=income_header_row, MATCH(income_min_row, $C:$C, 0), IF(header_row_id=expenses_header_row, MATCH(expenses_min_row, $C:$C, 0), IF(header_row_id=savings_header_row, MATCH(savings_min_row, $C:$C, 0), ""))), "")</f>
        <v/>
      </c>
      <c r="N68" s="51" t="str" cm="1">
        <f t="array" ref="N68">IF(is_category, IF(header_row_id=income_header_row, MATCH(income_max_row, $C:$C, 0), IF(header_row_id=expenses_header_row, MATCH(expenses_max_row, $C:$C, 0), IF(header_row_id=savings_header_row, MATCH(savings_max_row, $C:$C, 0), ""))), "")</f>
        <v/>
      </c>
      <c r="O68" s="50" t="str">
        <f t="shared" si="22"/>
        <v/>
      </c>
      <c r="P68" s="49" t="str">
        <f t="shared" ca="1" si="23"/>
        <v/>
      </c>
      <c r="Q68" s="49" t="str">
        <f t="shared" si="24"/>
        <v/>
      </c>
      <c r="R68" s="51" t="str">
        <f t="shared" ca="1" si="25"/>
        <v/>
      </c>
      <c r="S68" s="50" t="str">
        <f t="shared" si="26"/>
        <v/>
      </c>
      <c r="T68" s="49" t="str">
        <f t="shared" si="27"/>
        <v/>
      </c>
      <c r="U68" s="49" t="str">
        <f t="shared" ca="1" si="28"/>
        <v/>
      </c>
      <c r="V68" s="49" t="str">
        <f t="shared" si="29"/>
        <v/>
      </c>
      <c r="W68" s="47" t="str">
        <f t="shared" ca="1" si="30"/>
        <v/>
      </c>
      <c r="X68" s="56">
        <f t="shared" si="31"/>
        <v>-1</v>
      </c>
      <c r="Y68" s="57" t="str">
        <f t="shared" si="32"/>
        <v/>
      </c>
      <c r="Z68" s="59" t="str">
        <f t="shared" si="33"/>
        <v/>
      </c>
      <c r="AA68" s="59" t="str">
        <f t="shared" si="34"/>
        <v/>
      </c>
      <c r="AB68" s="58" t="str">
        <f t="shared" si="35"/>
        <v/>
      </c>
      <c r="AC68" s="59" t="str">
        <f t="shared" si="36"/>
        <v/>
      </c>
      <c r="AD68" s="59" t="str">
        <f t="shared" si="37"/>
        <v/>
      </c>
    </row>
    <row r="69" spans="3:30" x14ac:dyDescent="0.25">
      <c r="C69" s="4" cm="1">
        <f t="array" ref="C69">IF(C68=-1,-1, IF(C68&lt;income_max_row, C68+1, IF(C68=income_max_row, income_total_row, IF(C68=income_total_row, "/1", IF(C68="/1", expenses_header_row, IF(C68&lt;expenses_max_row, C68+1, IF(C68=expenses_max_row, expenses_total_row, IF(C68=expenses_total_row, "/2", IF(C68="/2", savings_header_row, IF(C68&lt;savings_max_row, C68+1, IF(C68=savings_max_row, savings_total_row, -1)))))))))))</f>
        <v>-1</v>
      </c>
      <c r="D69" s="5">
        <f t="shared" si="19"/>
        <v>-1</v>
      </c>
      <c r="E69" s="4" cm="1">
        <f t="array" ref="E69">1*OR(row_id=income_header_row, row_id=expenses_header_row, row_id=savings_header_row)</f>
        <v>0</v>
      </c>
      <c r="F69">
        <f t="shared" si="20"/>
        <v>0</v>
      </c>
      <c r="G69" cm="1">
        <f t="array" ref="G69">1*OR(row_id=income_total_row, row_id=expenses_total_row, row_id=savings_total_row)</f>
        <v>0</v>
      </c>
      <c r="H69" s="5">
        <f t="shared" si="21"/>
        <v>1</v>
      </c>
      <c r="I69" s="4" t="str" cm="1">
        <f t="array" ref="I69">IFERROR(INDEX('Budget Planning'!$C:$C, header_row_id), "")</f>
        <v/>
      </c>
      <c r="J69" t="str" cm="1">
        <f t="array" ref="J69">IFERROR(INDEX('Budget Planning'!$C:$C, row_id), "")</f>
        <v/>
      </c>
      <c r="K69" s="52" t="str" cm="1">
        <f t="array" ref="K6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69" s="53" t="str" cm="1">
        <f t="array" ref="L69">IF(OR(is_header, is_empty), "", INDEX('Budget Planning'!$E:$EM, row_id, MATCH(IF(selected_period="Total Year", selected_year, DATE(selected_year, selected_period, 1)), 'Budget Planning'!$E$9:$EM$9, 0)))</f>
        <v/>
      </c>
      <c r="M69" s="50" t="str" cm="1">
        <f t="array" ref="M69">IF(is_category, IF(header_row_id=income_header_row, MATCH(income_min_row, $C:$C, 0), IF(header_row_id=expenses_header_row, MATCH(expenses_min_row, $C:$C, 0), IF(header_row_id=savings_header_row, MATCH(savings_min_row, $C:$C, 0), ""))), "")</f>
        <v/>
      </c>
      <c r="N69" s="51" t="str" cm="1">
        <f t="array" ref="N69">IF(is_category, IF(header_row_id=income_header_row, MATCH(income_max_row, $C:$C, 0), IF(header_row_id=expenses_header_row, MATCH(expenses_max_row, $C:$C, 0), IF(header_row_id=savings_header_row, MATCH(savings_max_row, $C:$C, 0), ""))), "")</f>
        <v/>
      </c>
      <c r="O69" s="50" t="str">
        <f t="shared" si="22"/>
        <v/>
      </c>
      <c r="P69" s="49" t="str">
        <f t="shared" ca="1" si="23"/>
        <v/>
      </c>
      <c r="Q69" s="49" t="str">
        <f t="shared" si="24"/>
        <v/>
      </c>
      <c r="R69" s="51" t="str">
        <f t="shared" ca="1" si="25"/>
        <v/>
      </c>
      <c r="S69" s="50" t="str">
        <f t="shared" si="26"/>
        <v/>
      </c>
      <c r="T69" s="49" t="str">
        <f t="shared" si="27"/>
        <v/>
      </c>
      <c r="U69" s="49" t="str">
        <f t="shared" ca="1" si="28"/>
        <v/>
      </c>
      <c r="V69" s="49" t="str">
        <f t="shared" si="29"/>
        <v/>
      </c>
      <c r="W69" s="47" t="str">
        <f t="shared" ca="1" si="30"/>
        <v/>
      </c>
      <c r="X69" s="56">
        <f t="shared" si="31"/>
        <v>-1</v>
      </c>
      <c r="Y69" s="57" t="str">
        <f t="shared" si="32"/>
        <v/>
      </c>
      <c r="Z69" s="59" t="str">
        <f t="shared" si="33"/>
        <v/>
      </c>
      <c r="AA69" s="59" t="str">
        <f t="shared" si="34"/>
        <v/>
      </c>
      <c r="AB69" s="58" t="str">
        <f t="shared" si="35"/>
        <v/>
      </c>
      <c r="AC69" s="59" t="str">
        <f t="shared" si="36"/>
        <v/>
      </c>
      <c r="AD69" s="59" t="str">
        <f t="shared" si="37"/>
        <v/>
      </c>
    </row>
    <row r="70" spans="3:30" x14ac:dyDescent="0.25">
      <c r="C70" s="4" cm="1">
        <f t="array" ref="C70">IF(C69=-1,-1, IF(C69&lt;income_max_row, C69+1, IF(C69=income_max_row, income_total_row, IF(C69=income_total_row, "/1", IF(C69="/1", expenses_header_row, IF(C69&lt;expenses_max_row, C69+1, IF(C69=expenses_max_row, expenses_total_row, IF(C69=expenses_total_row, "/2", IF(C69="/2", savings_header_row, IF(C69&lt;savings_max_row, C69+1, IF(C69=savings_max_row, savings_total_row, -1)))))))))))</f>
        <v>-1</v>
      </c>
      <c r="D70" s="5">
        <f t="shared" si="19"/>
        <v>-1</v>
      </c>
      <c r="E70" s="4" cm="1">
        <f t="array" ref="E70">1*OR(row_id=income_header_row, row_id=expenses_header_row, row_id=savings_header_row)</f>
        <v>0</v>
      </c>
      <c r="F70">
        <f t="shared" si="20"/>
        <v>0</v>
      </c>
      <c r="G70" cm="1">
        <f t="array" ref="G70">1*OR(row_id=income_total_row, row_id=expenses_total_row, row_id=savings_total_row)</f>
        <v>0</v>
      </c>
      <c r="H70" s="5">
        <f t="shared" si="21"/>
        <v>1</v>
      </c>
      <c r="I70" s="4" t="str" cm="1">
        <f t="array" ref="I70">IFERROR(INDEX('Budget Planning'!$C:$C, header_row_id), "")</f>
        <v/>
      </c>
      <c r="J70" t="str" cm="1">
        <f t="array" ref="J70">IFERROR(INDEX('Budget Planning'!$C:$C, row_id), "")</f>
        <v/>
      </c>
      <c r="K70" s="52" t="str" cm="1">
        <f t="array" ref="K7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0" s="53" t="str" cm="1">
        <f t="array" ref="L70">IF(OR(is_header, is_empty), "", INDEX('Budget Planning'!$E:$EM, row_id, MATCH(IF(selected_period="Total Year", selected_year, DATE(selected_year, selected_period, 1)), 'Budget Planning'!$E$9:$EM$9, 0)))</f>
        <v/>
      </c>
      <c r="M70" s="50" t="str" cm="1">
        <f t="array" ref="M70">IF(is_category, IF(header_row_id=income_header_row, MATCH(income_min_row, $C:$C, 0), IF(header_row_id=expenses_header_row, MATCH(expenses_min_row, $C:$C, 0), IF(header_row_id=savings_header_row, MATCH(savings_min_row, $C:$C, 0), ""))), "")</f>
        <v/>
      </c>
      <c r="N70" s="51" t="str" cm="1">
        <f t="array" ref="N70">IF(is_category, IF(header_row_id=income_header_row, MATCH(income_max_row, $C:$C, 0), IF(header_row_id=expenses_header_row, MATCH(expenses_max_row, $C:$C, 0), IF(header_row_id=savings_header_row, MATCH(savings_max_row, $C:$C, 0), ""))), "")</f>
        <v/>
      </c>
      <c r="O70" s="50" t="str">
        <f t="shared" si="22"/>
        <v/>
      </c>
      <c r="P70" s="49" t="str">
        <f t="shared" ca="1" si="23"/>
        <v/>
      </c>
      <c r="Q70" s="49" t="str">
        <f t="shared" si="24"/>
        <v/>
      </c>
      <c r="R70" s="51" t="str">
        <f t="shared" ca="1" si="25"/>
        <v/>
      </c>
      <c r="S70" s="50" t="str">
        <f t="shared" si="26"/>
        <v/>
      </c>
      <c r="T70" s="49" t="str">
        <f t="shared" si="27"/>
        <v/>
      </c>
      <c r="U70" s="49" t="str">
        <f t="shared" ca="1" si="28"/>
        <v/>
      </c>
      <c r="V70" s="49" t="str">
        <f t="shared" si="29"/>
        <v/>
      </c>
      <c r="W70" s="47" t="str">
        <f t="shared" ca="1" si="30"/>
        <v/>
      </c>
      <c r="X70" s="56">
        <f t="shared" si="31"/>
        <v>-1</v>
      </c>
      <c r="Y70" s="57" t="str">
        <f t="shared" si="32"/>
        <v/>
      </c>
      <c r="Z70" s="59" t="str">
        <f t="shared" si="33"/>
        <v/>
      </c>
      <c r="AA70" s="59" t="str">
        <f t="shared" si="34"/>
        <v/>
      </c>
      <c r="AB70" s="58" t="str">
        <f t="shared" si="35"/>
        <v/>
      </c>
      <c r="AC70" s="59" t="str">
        <f t="shared" si="36"/>
        <v/>
      </c>
      <c r="AD70" s="59" t="str">
        <f t="shared" si="37"/>
        <v/>
      </c>
    </row>
    <row r="71" spans="3:30" x14ac:dyDescent="0.25">
      <c r="C71" s="4" cm="1">
        <f t="array" ref="C71">IF(C70=-1,-1, IF(C70&lt;income_max_row, C70+1, IF(C70=income_max_row, income_total_row, IF(C70=income_total_row, "/1", IF(C70="/1", expenses_header_row, IF(C70&lt;expenses_max_row, C70+1, IF(C70=expenses_max_row, expenses_total_row, IF(C70=expenses_total_row, "/2", IF(C70="/2", savings_header_row, IF(C70&lt;savings_max_row, C70+1, IF(C70=savings_max_row, savings_total_row, -1)))))))))))</f>
        <v>-1</v>
      </c>
      <c r="D71" s="5">
        <f t="shared" si="19"/>
        <v>-1</v>
      </c>
      <c r="E71" s="4" cm="1">
        <f t="array" ref="E71">1*OR(row_id=income_header_row, row_id=expenses_header_row, row_id=savings_header_row)</f>
        <v>0</v>
      </c>
      <c r="F71">
        <f t="shared" si="20"/>
        <v>0</v>
      </c>
      <c r="G71" cm="1">
        <f t="array" ref="G71">1*OR(row_id=income_total_row, row_id=expenses_total_row, row_id=savings_total_row)</f>
        <v>0</v>
      </c>
      <c r="H71" s="5">
        <f t="shared" si="21"/>
        <v>1</v>
      </c>
      <c r="I71" s="4" t="str" cm="1">
        <f t="array" ref="I71">IFERROR(INDEX('Budget Planning'!$C:$C, header_row_id), "")</f>
        <v/>
      </c>
      <c r="J71" t="str" cm="1">
        <f t="array" ref="J71">IFERROR(INDEX('Budget Planning'!$C:$C, row_id), "")</f>
        <v/>
      </c>
      <c r="K71" s="52" t="str" cm="1">
        <f t="array" ref="K7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1" s="53" t="str" cm="1">
        <f t="array" ref="L71">IF(OR(is_header, is_empty), "", INDEX('Budget Planning'!$E:$EM, row_id, MATCH(IF(selected_period="Total Year", selected_year, DATE(selected_year, selected_period, 1)), 'Budget Planning'!$E$9:$EM$9, 0)))</f>
        <v/>
      </c>
      <c r="M71" s="50" t="str" cm="1">
        <f t="array" ref="M71">IF(is_category, IF(header_row_id=income_header_row, MATCH(income_min_row, $C:$C, 0), IF(header_row_id=expenses_header_row, MATCH(expenses_min_row, $C:$C, 0), IF(header_row_id=savings_header_row, MATCH(savings_min_row, $C:$C, 0), ""))), "")</f>
        <v/>
      </c>
      <c r="N71" s="51" t="str" cm="1">
        <f t="array" ref="N71">IF(is_category, IF(header_row_id=income_header_row, MATCH(income_max_row, $C:$C, 0), IF(header_row_id=expenses_header_row, MATCH(expenses_max_row, $C:$C, 0), IF(header_row_id=savings_header_row, MATCH(savings_max_row, $C:$C, 0), ""))), "")</f>
        <v/>
      </c>
      <c r="O71" s="50" t="str">
        <f t="shared" si="22"/>
        <v/>
      </c>
      <c r="P71" s="49" t="str">
        <f t="shared" ca="1" si="23"/>
        <v/>
      </c>
      <c r="Q71" s="49" t="str">
        <f t="shared" si="24"/>
        <v/>
      </c>
      <c r="R71" s="51" t="str">
        <f t="shared" ca="1" si="25"/>
        <v/>
      </c>
      <c r="S71" s="50" t="str">
        <f t="shared" si="26"/>
        <v/>
      </c>
      <c r="T71" s="49" t="str">
        <f t="shared" si="27"/>
        <v/>
      </c>
      <c r="U71" s="49" t="str">
        <f t="shared" ca="1" si="28"/>
        <v/>
      </c>
      <c r="V71" s="49" t="str">
        <f t="shared" si="29"/>
        <v/>
      </c>
      <c r="W71" s="47" t="str">
        <f t="shared" ca="1" si="30"/>
        <v/>
      </c>
      <c r="X71" s="56">
        <f t="shared" si="31"/>
        <v>-1</v>
      </c>
      <c r="Y71" s="57" t="str">
        <f t="shared" si="32"/>
        <v/>
      </c>
      <c r="Z71" s="59" t="str">
        <f t="shared" si="33"/>
        <v/>
      </c>
      <c r="AA71" s="59" t="str">
        <f t="shared" si="34"/>
        <v/>
      </c>
      <c r="AB71" s="58" t="str">
        <f t="shared" si="35"/>
        <v/>
      </c>
      <c r="AC71" s="59" t="str">
        <f t="shared" si="36"/>
        <v/>
      </c>
      <c r="AD71" s="59" t="str">
        <f t="shared" si="37"/>
        <v/>
      </c>
    </row>
    <row r="72" spans="3:30" x14ac:dyDescent="0.25">
      <c r="C72" s="4" cm="1">
        <f t="array" ref="C72">IF(C71=-1,-1, IF(C71&lt;income_max_row, C71+1, IF(C71=income_max_row, income_total_row, IF(C71=income_total_row, "/1", IF(C71="/1", expenses_header_row, IF(C71&lt;expenses_max_row, C71+1, IF(C71=expenses_max_row, expenses_total_row, IF(C71=expenses_total_row, "/2", IF(C71="/2", savings_header_row, IF(C71&lt;savings_max_row, C71+1, IF(C71=savings_max_row, savings_total_row, -1)))))))))))</f>
        <v>-1</v>
      </c>
      <c r="D72" s="5">
        <f t="shared" si="19"/>
        <v>-1</v>
      </c>
      <c r="E72" s="4" cm="1">
        <f t="array" ref="E72">1*OR(row_id=income_header_row, row_id=expenses_header_row, row_id=savings_header_row)</f>
        <v>0</v>
      </c>
      <c r="F72">
        <f t="shared" si="20"/>
        <v>0</v>
      </c>
      <c r="G72" cm="1">
        <f t="array" ref="G72">1*OR(row_id=income_total_row, row_id=expenses_total_row, row_id=savings_total_row)</f>
        <v>0</v>
      </c>
      <c r="H72" s="5">
        <f t="shared" si="21"/>
        <v>1</v>
      </c>
      <c r="I72" s="4" t="str" cm="1">
        <f t="array" ref="I72">IFERROR(INDEX('Budget Planning'!$C:$C, header_row_id), "")</f>
        <v/>
      </c>
      <c r="J72" t="str" cm="1">
        <f t="array" ref="J72">IFERROR(INDEX('Budget Planning'!$C:$C, row_id), "")</f>
        <v/>
      </c>
      <c r="K72" s="52" t="str" cm="1">
        <f t="array" ref="K7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2" s="53" t="str" cm="1">
        <f t="array" ref="L72">IF(OR(is_header, is_empty), "", INDEX('Budget Planning'!$E:$EM, row_id, MATCH(IF(selected_period="Total Year", selected_year, DATE(selected_year, selected_period, 1)), 'Budget Planning'!$E$9:$EM$9, 0)))</f>
        <v/>
      </c>
      <c r="M72" s="50" t="str" cm="1">
        <f t="array" ref="M72">IF(is_category, IF(header_row_id=income_header_row, MATCH(income_min_row, $C:$C, 0), IF(header_row_id=expenses_header_row, MATCH(expenses_min_row, $C:$C, 0), IF(header_row_id=savings_header_row, MATCH(savings_min_row, $C:$C, 0), ""))), "")</f>
        <v/>
      </c>
      <c r="N72" s="51" t="str" cm="1">
        <f t="array" ref="N72">IF(is_category, IF(header_row_id=income_header_row, MATCH(income_max_row, $C:$C, 0), IF(header_row_id=expenses_header_row, MATCH(expenses_max_row, $C:$C, 0), IF(header_row_id=savings_header_row, MATCH(savings_max_row, $C:$C, 0), ""))), "")</f>
        <v/>
      </c>
      <c r="O72" s="50" t="str">
        <f t="shared" si="22"/>
        <v/>
      </c>
      <c r="P72" s="49" t="str">
        <f t="shared" ca="1" si="23"/>
        <v/>
      </c>
      <c r="Q72" s="49" t="str">
        <f t="shared" si="24"/>
        <v/>
      </c>
      <c r="R72" s="51" t="str">
        <f t="shared" ca="1" si="25"/>
        <v/>
      </c>
      <c r="S72" s="50" t="str">
        <f t="shared" si="26"/>
        <v/>
      </c>
      <c r="T72" s="49" t="str">
        <f t="shared" si="27"/>
        <v/>
      </c>
      <c r="U72" s="49" t="str">
        <f t="shared" ca="1" si="28"/>
        <v/>
      </c>
      <c r="V72" s="49" t="str">
        <f t="shared" si="29"/>
        <v/>
      </c>
      <c r="W72" s="47" t="str">
        <f t="shared" ca="1" si="30"/>
        <v/>
      </c>
      <c r="X72" s="56">
        <f t="shared" si="31"/>
        <v>-1</v>
      </c>
      <c r="Y72" s="57" t="str">
        <f t="shared" si="32"/>
        <v/>
      </c>
      <c r="Z72" s="59" t="str">
        <f t="shared" si="33"/>
        <v/>
      </c>
      <c r="AA72" s="59" t="str">
        <f t="shared" si="34"/>
        <v/>
      </c>
      <c r="AB72" s="58" t="str">
        <f t="shared" si="35"/>
        <v/>
      </c>
      <c r="AC72" s="59" t="str">
        <f t="shared" si="36"/>
        <v/>
      </c>
      <c r="AD72" s="59" t="str">
        <f t="shared" si="37"/>
        <v/>
      </c>
    </row>
    <row r="73" spans="3:30" x14ac:dyDescent="0.25">
      <c r="C73" s="4" cm="1">
        <f t="array" ref="C73">IF(C72=-1,-1, IF(C72&lt;income_max_row, C72+1, IF(C72=income_max_row, income_total_row, IF(C72=income_total_row, "/1", IF(C72="/1", expenses_header_row, IF(C72&lt;expenses_max_row, C72+1, IF(C72=expenses_max_row, expenses_total_row, IF(C72=expenses_total_row, "/2", IF(C72="/2", savings_header_row, IF(C72&lt;savings_max_row, C72+1, IF(C72=savings_max_row, savings_total_row, -1)))))))))))</f>
        <v>-1</v>
      </c>
      <c r="D73" s="5">
        <f t="shared" si="19"/>
        <v>-1</v>
      </c>
      <c r="E73" s="4" cm="1">
        <f t="array" ref="E73">1*OR(row_id=income_header_row, row_id=expenses_header_row, row_id=savings_header_row)</f>
        <v>0</v>
      </c>
      <c r="F73">
        <f t="shared" si="20"/>
        <v>0</v>
      </c>
      <c r="G73" cm="1">
        <f t="array" ref="G73">1*OR(row_id=income_total_row, row_id=expenses_total_row, row_id=savings_total_row)</f>
        <v>0</v>
      </c>
      <c r="H73" s="5">
        <f t="shared" si="21"/>
        <v>1</v>
      </c>
      <c r="I73" s="4" t="str" cm="1">
        <f t="array" ref="I73">IFERROR(INDEX('Budget Planning'!$C:$C, header_row_id), "")</f>
        <v/>
      </c>
      <c r="J73" t="str" cm="1">
        <f t="array" ref="J73">IFERROR(INDEX('Budget Planning'!$C:$C, row_id), "")</f>
        <v/>
      </c>
      <c r="K73" s="52" t="str" cm="1">
        <f t="array" ref="K7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3" s="53" t="str" cm="1">
        <f t="array" ref="L73">IF(OR(is_header, is_empty), "", INDEX('Budget Planning'!$E:$EM, row_id, MATCH(IF(selected_period="Total Year", selected_year, DATE(selected_year, selected_period, 1)), 'Budget Planning'!$E$9:$EM$9, 0)))</f>
        <v/>
      </c>
      <c r="M73" s="50" t="str" cm="1">
        <f t="array" ref="M73">IF(is_category, IF(header_row_id=income_header_row, MATCH(income_min_row, $C:$C, 0), IF(header_row_id=expenses_header_row, MATCH(expenses_min_row, $C:$C, 0), IF(header_row_id=savings_header_row, MATCH(savings_min_row, $C:$C, 0), ""))), "")</f>
        <v/>
      </c>
      <c r="N73" s="51" t="str" cm="1">
        <f t="array" ref="N73">IF(is_category, IF(header_row_id=income_header_row, MATCH(income_max_row, $C:$C, 0), IF(header_row_id=expenses_header_row, MATCH(expenses_max_row, $C:$C, 0), IF(header_row_id=savings_header_row, MATCH(savings_max_row, $C:$C, 0), ""))), "")</f>
        <v/>
      </c>
      <c r="O73" s="50" t="str">
        <f t="shared" si="22"/>
        <v/>
      </c>
      <c r="P73" s="49" t="str">
        <f t="shared" ca="1" si="23"/>
        <v/>
      </c>
      <c r="Q73" s="49" t="str">
        <f t="shared" si="24"/>
        <v/>
      </c>
      <c r="R73" s="51" t="str">
        <f t="shared" ca="1" si="25"/>
        <v/>
      </c>
      <c r="S73" s="50" t="str">
        <f t="shared" si="26"/>
        <v/>
      </c>
      <c r="T73" s="49" t="str">
        <f t="shared" si="27"/>
        <v/>
      </c>
      <c r="U73" s="49" t="str">
        <f t="shared" ca="1" si="28"/>
        <v/>
      </c>
      <c r="V73" s="49" t="str">
        <f t="shared" si="29"/>
        <v/>
      </c>
      <c r="W73" s="47" t="str">
        <f t="shared" ca="1" si="30"/>
        <v/>
      </c>
      <c r="X73" s="56">
        <f t="shared" si="31"/>
        <v>-1</v>
      </c>
      <c r="Y73" s="57" t="str">
        <f t="shared" si="32"/>
        <v/>
      </c>
      <c r="Z73" s="59" t="str">
        <f t="shared" si="33"/>
        <v/>
      </c>
      <c r="AA73" s="59" t="str">
        <f t="shared" si="34"/>
        <v/>
      </c>
      <c r="AB73" s="58" t="str">
        <f t="shared" si="35"/>
        <v/>
      </c>
      <c r="AC73" s="59" t="str">
        <f t="shared" si="36"/>
        <v/>
      </c>
      <c r="AD73" s="59" t="str">
        <f t="shared" si="37"/>
        <v/>
      </c>
    </row>
    <row r="74" spans="3:30" x14ac:dyDescent="0.25">
      <c r="C74" s="4" cm="1">
        <f t="array" ref="C74">IF(C73=-1,-1, IF(C73&lt;income_max_row, C73+1, IF(C73=income_max_row, income_total_row, IF(C73=income_total_row, "/1", IF(C73="/1", expenses_header_row, IF(C73&lt;expenses_max_row, C73+1, IF(C73=expenses_max_row, expenses_total_row, IF(C73=expenses_total_row, "/2", IF(C73="/2", savings_header_row, IF(C73&lt;savings_max_row, C73+1, IF(C73=savings_max_row, savings_total_row, -1)))))))))))</f>
        <v>-1</v>
      </c>
      <c r="D74" s="5">
        <f t="shared" si="19"/>
        <v>-1</v>
      </c>
      <c r="E74" s="4" cm="1">
        <f t="array" ref="E74">1*OR(row_id=income_header_row, row_id=expenses_header_row, row_id=savings_header_row)</f>
        <v>0</v>
      </c>
      <c r="F74">
        <f t="shared" si="20"/>
        <v>0</v>
      </c>
      <c r="G74" cm="1">
        <f t="array" ref="G74">1*OR(row_id=income_total_row, row_id=expenses_total_row, row_id=savings_total_row)</f>
        <v>0</v>
      </c>
      <c r="H74" s="5">
        <f t="shared" si="21"/>
        <v>1</v>
      </c>
      <c r="I74" s="4" t="str" cm="1">
        <f t="array" ref="I74">IFERROR(INDEX('Budget Planning'!$C:$C, header_row_id), "")</f>
        <v/>
      </c>
      <c r="J74" t="str" cm="1">
        <f t="array" ref="J74">IFERROR(INDEX('Budget Planning'!$C:$C, row_id), "")</f>
        <v/>
      </c>
      <c r="K74" s="52" t="str" cm="1">
        <f t="array" ref="K7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4" s="53" t="str" cm="1">
        <f t="array" ref="L74">IF(OR(is_header, is_empty), "", INDEX('Budget Planning'!$E:$EM, row_id, MATCH(IF(selected_period="Total Year", selected_year, DATE(selected_year, selected_period, 1)), 'Budget Planning'!$E$9:$EM$9, 0)))</f>
        <v/>
      </c>
      <c r="M74" s="50" t="str" cm="1">
        <f t="array" ref="M74">IF(is_category, IF(header_row_id=income_header_row, MATCH(income_min_row, $C:$C, 0), IF(header_row_id=expenses_header_row, MATCH(expenses_min_row, $C:$C, 0), IF(header_row_id=savings_header_row, MATCH(savings_min_row, $C:$C, 0), ""))), "")</f>
        <v/>
      </c>
      <c r="N74" s="51" t="str" cm="1">
        <f t="array" ref="N74">IF(is_category, IF(header_row_id=income_header_row, MATCH(income_max_row, $C:$C, 0), IF(header_row_id=expenses_header_row, MATCH(expenses_max_row, $C:$C, 0), IF(header_row_id=savings_header_row, MATCH(savings_max_row, $C:$C, 0), ""))), "")</f>
        <v/>
      </c>
      <c r="O74" s="50" t="str">
        <f t="shared" si="22"/>
        <v/>
      </c>
      <c r="P74" s="49" t="str">
        <f t="shared" ca="1" si="23"/>
        <v/>
      </c>
      <c r="Q74" s="49" t="str">
        <f t="shared" si="24"/>
        <v/>
      </c>
      <c r="R74" s="51" t="str">
        <f t="shared" ca="1" si="25"/>
        <v/>
      </c>
      <c r="S74" s="50" t="str">
        <f t="shared" si="26"/>
        <v/>
      </c>
      <c r="T74" s="49" t="str">
        <f t="shared" si="27"/>
        <v/>
      </c>
      <c r="U74" s="49" t="str">
        <f t="shared" ca="1" si="28"/>
        <v/>
      </c>
      <c r="V74" s="49" t="str">
        <f t="shared" si="29"/>
        <v/>
      </c>
      <c r="W74" s="47" t="str">
        <f t="shared" ca="1" si="30"/>
        <v/>
      </c>
      <c r="X74" s="56">
        <f t="shared" si="31"/>
        <v>-1</v>
      </c>
      <c r="Y74" s="57" t="str">
        <f t="shared" si="32"/>
        <v/>
      </c>
      <c r="Z74" s="59" t="str">
        <f t="shared" si="33"/>
        <v/>
      </c>
      <c r="AA74" s="59" t="str">
        <f t="shared" si="34"/>
        <v/>
      </c>
      <c r="AB74" s="58" t="str">
        <f t="shared" si="35"/>
        <v/>
      </c>
      <c r="AC74" s="59" t="str">
        <f t="shared" si="36"/>
        <v/>
      </c>
      <c r="AD74" s="59" t="str">
        <f t="shared" si="37"/>
        <v/>
      </c>
    </row>
    <row r="75" spans="3:30" x14ac:dyDescent="0.25">
      <c r="C75" s="4" cm="1">
        <f t="array" ref="C75">IF(C74=-1,-1, IF(C74&lt;income_max_row, C74+1, IF(C74=income_max_row, income_total_row, IF(C74=income_total_row, "/1", IF(C74="/1", expenses_header_row, IF(C74&lt;expenses_max_row, C74+1, IF(C74=expenses_max_row, expenses_total_row, IF(C74=expenses_total_row, "/2", IF(C74="/2", savings_header_row, IF(C74&lt;savings_max_row, C74+1, IF(C74=savings_max_row, savings_total_row, -1)))))))))))</f>
        <v>-1</v>
      </c>
      <c r="D75" s="5">
        <f t="shared" si="19"/>
        <v>-1</v>
      </c>
      <c r="E75" s="4" cm="1">
        <f t="array" ref="E75">1*OR(row_id=income_header_row, row_id=expenses_header_row, row_id=savings_header_row)</f>
        <v>0</v>
      </c>
      <c r="F75">
        <f t="shared" si="20"/>
        <v>0</v>
      </c>
      <c r="G75" cm="1">
        <f t="array" ref="G75">1*OR(row_id=income_total_row, row_id=expenses_total_row, row_id=savings_total_row)</f>
        <v>0</v>
      </c>
      <c r="H75" s="5">
        <f t="shared" si="21"/>
        <v>1</v>
      </c>
      <c r="I75" s="4" t="str" cm="1">
        <f t="array" ref="I75">IFERROR(INDEX('Budget Planning'!$C:$C, header_row_id), "")</f>
        <v/>
      </c>
      <c r="J75" t="str" cm="1">
        <f t="array" ref="J75">IFERROR(INDEX('Budget Planning'!$C:$C, row_id), "")</f>
        <v/>
      </c>
      <c r="K75" s="52" t="str" cm="1">
        <f t="array" ref="K7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5" s="53" t="str" cm="1">
        <f t="array" ref="L75">IF(OR(is_header, is_empty), "", INDEX('Budget Planning'!$E:$EM, row_id, MATCH(IF(selected_period="Total Year", selected_year, DATE(selected_year, selected_period, 1)), 'Budget Planning'!$E$9:$EM$9, 0)))</f>
        <v/>
      </c>
      <c r="M75" s="50" t="str" cm="1">
        <f t="array" ref="M75">IF(is_category, IF(header_row_id=income_header_row, MATCH(income_min_row, $C:$C, 0), IF(header_row_id=expenses_header_row, MATCH(expenses_min_row, $C:$C, 0), IF(header_row_id=savings_header_row, MATCH(savings_min_row, $C:$C, 0), ""))), "")</f>
        <v/>
      </c>
      <c r="N75" s="51" t="str" cm="1">
        <f t="array" ref="N75">IF(is_category, IF(header_row_id=income_header_row, MATCH(income_max_row, $C:$C, 0), IF(header_row_id=expenses_header_row, MATCH(expenses_max_row, $C:$C, 0), IF(header_row_id=savings_header_row, MATCH(savings_max_row, $C:$C, 0), ""))), "")</f>
        <v/>
      </c>
      <c r="O75" s="50" t="str">
        <f t="shared" si="22"/>
        <v/>
      </c>
      <c r="P75" s="49" t="str">
        <f t="shared" ca="1" si="23"/>
        <v/>
      </c>
      <c r="Q75" s="49" t="str">
        <f t="shared" si="24"/>
        <v/>
      </c>
      <c r="R75" s="51" t="str">
        <f t="shared" ca="1" si="25"/>
        <v/>
      </c>
      <c r="S75" s="50" t="str">
        <f t="shared" si="26"/>
        <v/>
      </c>
      <c r="T75" s="49" t="str">
        <f t="shared" si="27"/>
        <v/>
      </c>
      <c r="U75" s="49" t="str">
        <f t="shared" ca="1" si="28"/>
        <v/>
      </c>
      <c r="V75" s="49" t="str">
        <f t="shared" si="29"/>
        <v/>
      </c>
      <c r="W75" s="47" t="str">
        <f t="shared" ca="1" si="30"/>
        <v/>
      </c>
      <c r="X75" s="56">
        <f t="shared" si="31"/>
        <v>-1</v>
      </c>
      <c r="Y75" s="57" t="str">
        <f t="shared" si="32"/>
        <v/>
      </c>
      <c r="Z75" s="59" t="str">
        <f t="shared" si="33"/>
        <v/>
      </c>
      <c r="AA75" s="59" t="str">
        <f t="shared" si="34"/>
        <v/>
      </c>
      <c r="AB75" s="58" t="str">
        <f t="shared" si="35"/>
        <v/>
      </c>
      <c r="AC75" s="59" t="str">
        <f t="shared" si="36"/>
        <v/>
      </c>
      <c r="AD75" s="59" t="str">
        <f t="shared" si="37"/>
        <v/>
      </c>
    </row>
    <row r="76" spans="3:30" x14ac:dyDescent="0.25">
      <c r="C76" s="4" cm="1">
        <f t="array" ref="C76">IF(C75=-1,-1, IF(C75&lt;income_max_row, C75+1, IF(C75=income_max_row, income_total_row, IF(C75=income_total_row, "/1", IF(C75="/1", expenses_header_row, IF(C75&lt;expenses_max_row, C75+1, IF(C75=expenses_max_row, expenses_total_row, IF(C75=expenses_total_row, "/2", IF(C75="/2", savings_header_row, IF(C75&lt;savings_max_row, C75+1, IF(C75=savings_max_row, savings_total_row, -1)))))))))))</f>
        <v>-1</v>
      </c>
      <c r="D76" s="5">
        <f t="shared" si="19"/>
        <v>-1</v>
      </c>
      <c r="E76" s="4" cm="1">
        <f t="array" ref="E76">1*OR(row_id=income_header_row, row_id=expenses_header_row, row_id=savings_header_row)</f>
        <v>0</v>
      </c>
      <c r="F76">
        <f t="shared" si="20"/>
        <v>0</v>
      </c>
      <c r="G76" cm="1">
        <f t="array" ref="G76">1*OR(row_id=income_total_row, row_id=expenses_total_row, row_id=savings_total_row)</f>
        <v>0</v>
      </c>
      <c r="H76" s="5">
        <f t="shared" si="21"/>
        <v>1</v>
      </c>
      <c r="I76" s="4" t="str" cm="1">
        <f t="array" ref="I76">IFERROR(INDEX('Budget Planning'!$C:$C, header_row_id), "")</f>
        <v/>
      </c>
      <c r="J76" t="str" cm="1">
        <f t="array" ref="J76">IFERROR(INDEX('Budget Planning'!$C:$C, row_id), "")</f>
        <v/>
      </c>
      <c r="K76" s="52" t="str" cm="1">
        <f t="array" ref="K7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6" s="53" t="str" cm="1">
        <f t="array" ref="L76">IF(OR(is_header, is_empty), "", INDEX('Budget Planning'!$E:$EM, row_id, MATCH(IF(selected_period="Total Year", selected_year, DATE(selected_year, selected_period, 1)), 'Budget Planning'!$E$9:$EM$9, 0)))</f>
        <v/>
      </c>
      <c r="M76" s="50" t="str" cm="1">
        <f t="array" ref="M76">IF(is_category, IF(header_row_id=income_header_row, MATCH(income_min_row, $C:$C, 0), IF(header_row_id=expenses_header_row, MATCH(expenses_min_row, $C:$C, 0), IF(header_row_id=savings_header_row, MATCH(savings_min_row, $C:$C, 0), ""))), "")</f>
        <v/>
      </c>
      <c r="N76" s="51" t="str" cm="1">
        <f t="array" ref="N76">IF(is_category, IF(header_row_id=income_header_row, MATCH(income_max_row, $C:$C, 0), IF(header_row_id=expenses_header_row, MATCH(expenses_max_row, $C:$C, 0), IF(header_row_id=savings_header_row, MATCH(savings_max_row, $C:$C, 0), ""))), "")</f>
        <v/>
      </c>
      <c r="O76" s="50" t="str">
        <f t="shared" si="22"/>
        <v/>
      </c>
      <c r="P76" s="49" t="str">
        <f t="shared" ca="1" si="23"/>
        <v/>
      </c>
      <c r="Q76" s="49" t="str">
        <f t="shared" si="24"/>
        <v/>
      </c>
      <c r="R76" s="51" t="str">
        <f t="shared" ca="1" si="25"/>
        <v/>
      </c>
      <c r="S76" s="50" t="str">
        <f t="shared" si="26"/>
        <v/>
      </c>
      <c r="T76" s="49" t="str">
        <f t="shared" si="27"/>
        <v/>
      </c>
      <c r="U76" s="49" t="str">
        <f t="shared" ca="1" si="28"/>
        <v/>
      </c>
      <c r="V76" s="49" t="str">
        <f t="shared" si="29"/>
        <v/>
      </c>
      <c r="W76" s="47" t="str">
        <f t="shared" ca="1" si="30"/>
        <v/>
      </c>
      <c r="X76" s="56">
        <f t="shared" si="31"/>
        <v>-1</v>
      </c>
      <c r="Y76" s="57" t="str">
        <f t="shared" si="32"/>
        <v/>
      </c>
      <c r="Z76" s="59" t="str">
        <f t="shared" si="33"/>
        <v/>
      </c>
      <c r="AA76" s="59" t="str">
        <f t="shared" si="34"/>
        <v/>
      </c>
      <c r="AB76" s="58" t="str">
        <f t="shared" si="35"/>
        <v/>
      </c>
      <c r="AC76" s="59" t="str">
        <f t="shared" si="36"/>
        <v/>
      </c>
      <c r="AD76" s="59" t="str">
        <f t="shared" si="37"/>
        <v/>
      </c>
    </row>
    <row r="77" spans="3:30" x14ac:dyDescent="0.25">
      <c r="C77" s="4" cm="1">
        <f t="array" ref="C77">IF(C76=-1,-1, IF(C76&lt;income_max_row, C76+1, IF(C76=income_max_row, income_total_row, IF(C76=income_total_row, "/1", IF(C76="/1", expenses_header_row, IF(C76&lt;expenses_max_row, C76+1, IF(C76=expenses_max_row, expenses_total_row, IF(C76=expenses_total_row, "/2", IF(C76="/2", savings_header_row, IF(C76&lt;savings_max_row, C76+1, IF(C76=savings_max_row, savings_total_row, -1)))))))))))</f>
        <v>-1</v>
      </c>
      <c r="D77" s="5">
        <f t="shared" ref="D77:D108" si="38">IF(is_header, row_id, IF(NOT(is_empty), D76, -1))</f>
        <v>-1</v>
      </c>
      <c r="E77" s="4" cm="1">
        <f t="array" ref="E77">1*OR(row_id=income_header_row, row_id=expenses_header_row, row_id=savings_header_row)</f>
        <v>0</v>
      </c>
      <c r="F77">
        <f t="shared" ref="F77:F108" si="39">1*NOT(OR(is_header, is_total, is_empty))</f>
        <v>0</v>
      </c>
      <c r="G77" cm="1">
        <f t="array" ref="G77">1*OR(row_id=income_total_row, row_id=expenses_total_row, row_id=savings_total_row)</f>
        <v>0</v>
      </c>
      <c r="H77" s="5">
        <f t="shared" ref="H77:H108" si="40">1*OR(row_id="/1", row_id="/2", row_id=-1)</f>
        <v>1</v>
      </c>
      <c r="I77" s="4" t="str" cm="1">
        <f t="array" ref="I77">IFERROR(INDEX('Budget Planning'!$C:$C, header_row_id), "")</f>
        <v/>
      </c>
      <c r="J77" t="str" cm="1">
        <f t="array" ref="J77">IFERROR(INDEX('Budget Planning'!$C:$C, row_id), "")</f>
        <v/>
      </c>
      <c r="K77" s="52" t="str" cm="1">
        <f t="array" ref="K7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7" s="53" t="str" cm="1">
        <f t="array" ref="L77">IF(OR(is_header, is_empty), "", INDEX('Budget Planning'!$E:$EM, row_id, MATCH(IF(selected_period="Total Year", selected_year, DATE(selected_year, selected_period, 1)), 'Budget Planning'!$E$9:$EM$9, 0)))</f>
        <v/>
      </c>
      <c r="M77" s="50" t="str" cm="1">
        <f t="array" ref="M77">IF(is_category, IF(header_row_id=income_header_row, MATCH(income_min_row, $C:$C, 0), IF(header_row_id=expenses_header_row, MATCH(expenses_min_row, $C:$C, 0), IF(header_row_id=savings_header_row, MATCH(savings_min_row, $C:$C, 0), ""))), "")</f>
        <v/>
      </c>
      <c r="N77" s="51" t="str" cm="1">
        <f t="array" ref="N77">IF(is_category, IF(header_row_id=income_header_row, MATCH(income_max_row, $C:$C, 0), IF(header_row_id=expenses_header_row, MATCH(expenses_max_row, $C:$C, 0), IF(header_row_id=savings_header_row, MATCH(savings_max_row, $C:$C, 0), ""))), "")</f>
        <v/>
      </c>
      <c r="O77" s="50" t="str">
        <f t="shared" ref="O77:O108" si="41">IF(is_category, ADDRESS(sort_min_row, COLUMN(tracked)) &amp; ":" &amp; ADDRESS(sort_max_row, COLUMN(tracked)), "")</f>
        <v/>
      </c>
      <c r="P77" s="49" t="str">
        <f t="shared" ref="P77:P108" ca="1" si="42">IF(is_category, RANK(tracked, INDIRECT(tracked_range), 0), "")</f>
        <v/>
      </c>
      <c r="Q77" s="49" t="str">
        <f t="shared" ref="Q77:Q108" si="43">IF(is_category, ADDRESS(sort_min_row, COLUMN(budget)) &amp; ":" &amp; ADDRESS(sort_max_row, COLUMN(budget)), "")</f>
        <v/>
      </c>
      <c r="R77" s="51" t="str">
        <f t="shared" ref="R77:R108" ca="1" si="44">IF(is_category, RANK(budget, INDIRECT(budget_range), 0), "")</f>
        <v/>
      </c>
      <c r="S77" s="50" t="str">
        <f t="shared" ref="S77:S108" si="45">IF(is_category, _xlfn.NUMBERVALUE(tracker_rank &amp; budget_rank), "")</f>
        <v/>
      </c>
      <c r="T77" s="49" t="str">
        <f t="shared" ref="T77:T108" si="46">IF(is_category, ADDRESS(sort_min_row, COLUMN(combined_rank)) &amp; ":" &amp; ADDRESS(sort_max_row, COLUMN(combined_rank)), "")</f>
        <v/>
      </c>
      <c r="U77" s="49" t="str">
        <f t="shared" ref="U77:U108" ca="1" si="47">IF(is_category, RANK(combined_rank, INDIRECT(combined_rank_range), 1), "")</f>
        <v/>
      </c>
      <c r="V77" s="49" t="str">
        <f t="shared" ref="V77:V108" si="48">IF(is_category, ADDRESS(sort_min_row, COLUMN(combined_rank_norm)) &amp; ":" &amp; ADDRESS(ROW(), COLUMN(combined_rank_norm)), "")</f>
        <v/>
      </c>
      <c r="W77" s="47" t="str">
        <f t="shared" ref="W77:W108" ca="1" si="49">IF(is_category, combined_rank_norm + COUNTIF(INDIRECT(combined_rank_norm_run_range), combined_rank_norm)-1, "")</f>
        <v/>
      </c>
      <c r="X77" s="56">
        <f t="shared" ref="X77:X108" si="50">IF(is_category, header_row_id + combined_rank_unique, row_id)</f>
        <v>-1</v>
      </c>
      <c r="Y77" s="57" t="str">
        <f t="shared" ref="Y77:Y108" si="51">IF(is_empty, "", INDEX($J:$J, MATCH(row_id, $X:$X, 0)))</f>
        <v/>
      </c>
      <c r="Z77" s="59" t="str">
        <f t="shared" ref="Z77:Z108" si="52">IF(is_empty, "", IF(is_header, "Tracked", INDEX($K:$K, MATCH(row_id, $X:$X, 0))))</f>
        <v/>
      </c>
      <c r="AA77" s="59" t="str">
        <f t="shared" ref="AA77:AA108" si="53">IF(is_empty, "", IF(is_header, "Budget", INDEX($L:$L, MATCH(row_id, $X:$X, 0))))</f>
        <v/>
      </c>
      <c r="AB77" s="58" t="str">
        <f t="shared" ref="AB77:AB108" si="54">IF(is_empty, "", IF(is_header, "% Compl.", IFERROR(out_tracked / out_budget, "-")))</f>
        <v/>
      </c>
      <c r="AC77" s="59" t="str">
        <f t="shared" ref="AC77:AC108" si="55">IF(is_empty, "", IF(is_header, "Remaining", IF(out_budget - out_tracked &gt; 0, out_budget - out_tracked, 0)))</f>
        <v/>
      </c>
      <c r="AD77" s="59" t="str">
        <f t="shared" ref="AD77:AD108" si="56">IF(is_empty, "", IF(is_header, "Excess", IF(out_budget - out_tracked &lt; 0, out_tracked - out_budget, 0)))</f>
        <v/>
      </c>
    </row>
    <row r="78" spans="3:30" x14ac:dyDescent="0.25">
      <c r="C78" s="4" cm="1">
        <f t="array" ref="C78">IF(C77=-1,-1, IF(C77&lt;income_max_row, C77+1, IF(C77=income_max_row, income_total_row, IF(C77=income_total_row, "/1", IF(C77="/1", expenses_header_row, IF(C77&lt;expenses_max_row, C77+1, IF(C77=expenses_max_row, expenses_total_row, IF(C77=expenses_total_row, "/2", IF(C77="/2", savings_header_row, IF(C77&lt;savings_max_row, C77+1, IF(C77=savings_max_row, savings_total_row, -1)))))))))))</f>
        <v>-1</v>
      </c>
      <c r="D78" s="5">
        <f t="shared" si="38"/>
        <v>-1</v>
      </c>
      <c r="E78" s="4" cm="1">
        <f t="array" ref="E78">1*OR(row_id=income_header_row, row_id=expenses_header_row, row_id=savings_header_row)</f>
        <v>0</v>
      </c>
      <c r="F78">
        <f t="shared" si="39"/>
        <v>0</v>
      </c>
      <c r="G78" cm="1">
        <f t="array" ref="G78">1*OR(row_id=income_total_row, row_id=expenses_total_row, row_id=savings_total_row)</f>
        <v>0</v>
      </c>
      <c r="H78" s="5">
        <f t="shared" si="40"/>
        <v>1</v>
      </c>
      <c r="I78" s="4" t="str" cm="1">
        <f t="array" ref="I78">IFERROR(INDEX('Budget Planning'!$C:$C, header_row_id), "")</f>
        <v/>
      </c>
      <c r="J78" t="str" cm="1">
        <f t="array" ref="J78">IFERROR(INDEX('Budget Planning'!$C:$C, row_id), "")</f>
        <v/>
      </c>
      <c r="K78" s="52" t="str" cm="1">
        <f t="array" ref="K7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8" s="53" t="str" cm="1">
        <f t="array" ref="L78">IF(OR(is_header, is_empty), "", INDEX('Budget Planning'!$E:$EM, row_id, MATCH(IF(selected_period="Total Year", selected_year, DATE(selected_year, selected_period, 1)), 'Budget Planning'!$E$9:$EM$9, 0)))</f>
        <v/>
      </c>
      <c r="M78" s="50" t="str" cm="1">
        <f t="array" ref="M78">IF(is_category, IF(header_row_id=income_header_row, MATCH(income_min_row, $C:$C, 0), IF(header_row_id=expenses_header_row, MATCH(expenses_min_row, $C:$C, 0), IF(header_row_id=savings_header_row, MATCH(savings_min_row, $C:$C, 0), ""))), "")</f>
        <v/>
      </c>
      <c r="N78" s="51" t="str" cm="1">
        <f t="array" ref="N78">IF(is_category, IF(header_row_id=income_header_row, MATCH(income_max_row, $C:$C, 0), IF(header_row_id=expenses_header_row, MATCH(expenses_max_row, $C:$C, 0), IF(header_row_id=savings_header_row, MATCH(savings_max_row, $C:$C, 0), ""))), "")</f>
        <v/>
      </c>
      <c r="O78" s="50" t="str">
        <f t="shared" si="41"/>
        <v/>
      </c>
      <c r="P78" s="49" t="str">
        <f t="shared" ca="1" si="42"/>
        <v/>
      </c>
      <c r="Q78" s="49" t="str">
        <f t="shared" si="43"/>
        <v/>
      </c>
      <c r="R78" s="51" t="str">
        <f t="shared" ca="1" si="44"/>
        <v/>
      </c>
      <c r="S78" s="50" t="str">
        <f t="shared" si="45"/>
        <v/>
      </c>
      <c r="T78" s="49" t="str">
        <f t="shared" si="46"/>
        <v/>
      </c>
      <c r="U78" s="49" t="str">
        <f t="shared" ca="1" si="47"/>
        <v/>
      </c>
      <c r="V78" s="49" t="str">
        <f t="shared" si="48"/>
        <v/>
      </c>
      <c r="W78" s="47" t="str">
        <f t="shared" ca="1" si="49"/>
        <v/>
      </c>
      <c r="X78" s="56">
        <f t="shared" si="50"/>
        <v>-1</v>
      </c>
      <c r="Y78" s="57" t="str">
        <f t="shared" si="51"/>
        <v/>
      </c>
      <c r="Z78" s="59" t="str">
        <f t="shared" si="52"/>
        <v/>
      </c>
      <c r="AA78" s="59" t="str">
        <f t="shared" si="53"/>
        <v/>
      </c>
      <c r="AB78" s="58" t="str">
        <f t="shared" si="54"/>
        <v/>
      </c>
      <c r="AC78" s="59" t="str">
        <f t="shared" si="55"/>
        <v/>
      </c>
      <c r="AD78" s="59" t="str">
        <f t="shared" si="56"/>
        <v/>
      </c>
    </row>
    <row r="79" spans="3:30" x14ac:dyDescent="0.25">
      <c r="C79" s="4" cm="1">
        <f t="array" ref="C79">IF(C78=-1,-1, IF(C78&lt;income_max_row, C78+1, IF(C78=income_max_row, income_total_row, IF(C78=income_total_row, "/1", IF(C78="/1", expenses_header_row, IF(C78&lt;expenses_max_row, C78+1, IF(C78=expenses_max_row, expenses_total_row, IF(C78=expenses_total_row, "/2", IF(C78="/2", savings_header_row, IF(C78&lt;savings_max_row, C78+1, IF(C78=savings_max_row, savings_total_row, -1)))))))))))</f>
        <v>-1</v>
      </c>
      <c r="D79" s="5">
        <f t="shared" si="38"/>
        <v>-1</v>
      </c>
      <c r="E79" s="4" cm="1">
        <f t="array" ref="E79">1*OR(row_id=income_header_row, row_id=expenses_header_row, row_id=savings_header_row)</f>
        <v>0</v>
      </c>
      <c r="F79">
        <f t="shared" si="39"/>
        <v>0</v>
      </c>
      <c r="G79" cm="1">
        <f t="array" ref="G79">1*OR(row_id=income_total_row, row_id=expenses_total_row, row_id=savings_total_row)</f>
        <v>0</v>
      </c>
      <c r="H79" s="5">
        <f t="shared" si="40"/>
        <v>1</v>
      </c>
      <c r="I79" s="4" t="str" cm="1">
        <f t="array" ref="I79">IFERROR(INDEX('Budget Planning'!$C:$C, header_row_id), "")</f>
        <v/>
      </c>
      <c r="J79" t="str" cm="1">
        <f t="array" ref="J79">IFERROR(INDEX('Budget Planning'!$C:$C, row_id), "")</f>
        <v/>
      </c>
      <c r="K79" s="52" t="str" cm="1">
        <f t="array" ref="K7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79" s="53" t="str" cm="1">
        <f t="array" ref="L79">IF(OR(is_header, is_empty), "", INDEX('Budget Planning'!$E:$EM, row_id, MATCH(IF(selected_period="Total Year", selected_year, DATE(selected_year, selected_period, 1)), 'Budget Planning'!$E$9:$EM$9, 0)))</f>
        <v/>
      </c>
      <c r="M79" s="50" t="str" cm="1">
        <f t="array" ref="M79">IF(is_category, IF(header_row_id=income_header_row, MATCH(income_min_row, $C:$C, 0), IF(header_row_id=expenses_header_row, MATCH(expenses_min_row, $C:$C, 0), IF(header_row_id=savings_header_row, MATCH(savings_min_row, $C:$C, 0), ""))), "")</f>
        <v/>
      </c>
      <c r="N79" s="51" t="str" cm="1">
        <f t="array" ref="N79">IF(is_category, IF(header_row_id=income_header_row, MATCH(income_max_row, $C:$C, 0), IF(header_row_id=expenses_header_row, MATCH(expenses_max_row, $C:$C, 0), IF(header_row_id=savings_header_row, MATCH(savings_max_row, $C:$C, 0), ""))), "")</f>
        <v/>
      </c>
      <c r="O79" s="50" t="str">
        <f t="shared" si="41"/>
        <v/>
      </c>
      <c r="P79" s="49" t="str">
        <f t="shared" ca="1" si="42"/>
        <v/>
      </c>
      <c r="Q79" s="49" t="str">
        <f t="shared" si="43"/>
        <v/>
      </c>
      <c r="R79" s="51" t="str">
        <f t="shared" ca="1" si="44"/>
        <v/>
      </c>
      <c r="S79" s="50" t="str">
        <f t="shared" si="45"/>
        <v/>
      </c>
      <c r="T79" s="49" t="str">
        <f t="shared" si="46"/>
        <v/>
      </c>
      <c r="U79" s="49" t="str">
        <f t="shared" ca="1" si="47"/>
        <v/>
      </c>
      <c r="V79" s="49" t="str">
        <f t="shared" si="48"/>
        <v/>
      </c>
      <c r="W79" s="47" t="str">
        <f t="shared" ca="1" si="49"/>
        <v/>
      </c>
      <c r="X79" s="56">
        <f t="shared" si="50"/>
        <v>-1</v>
      </c>
      <c r="Y79" s="57" t="str">
        <f t="shared" si="51"/>
        <v/>
      </c>
      <c r="Z79" s="59" t="str">
        <f t="shared" si="52"/>
        <v/>
      </c>
      <c r="AA79" s="59" t="str">
        <f t="shared" si="53"/>
        <v/>
      </c>
      <c r="AB79" s="58" t="str">
        <f t="shared" si="54"/>
        <v/>
      </c>
      <c r="AC79" s="59" t="str">
        <f t="shared" si="55"/>
        <v/>
      </c>
      <c r="AD79" s="59" t="str">
        <f t="shared" si="56"/>
        <v/>
      </c>
    </row>
    <row r="80" spans="3:30" x14ac:dyDescent="0.25">
      <c r="C80" s="4" cm="1">
        <f t="array" ref="C80">IF(C79=-1,-1, IF(C79&lt;income_max_row, C79+1, IF(C79=income_max_row, income_total_row, IF(C79=income_total_row, "/1", IF(C79="/1", expenses_header_row, IF(C79&lt;expenses_max_row, C79+1, IF(C79=expenses_max_row, expenses_total_row, IF(C79=expenses_total_row, "/2", IF(C79="/2", savings_header_row, IF(C79&lt;savings_max_row, C79+1, IF(C79=savings_max_row, savings_total_row, -1)))))))))))</f>
        <v>-1</v>
      </c>
      <c r="D80" s="5">
        <f t="shared" si="38"/>
        <v>-1</v>
      </c>
      <c r="E80" s="4" cm="1">
        <f t="array" ref="E80">1*OR(row_id=income_header_row, row_id=expenses_header_row, row_id=savings_header_row)</f>
        <v>0</v>
      </c>
      <c r="F80">
        <f t="shared" si="39"/>
        <v>0</v>
      </c>
      <c r="G80" cm="1">
        <f t="array" ref="G80">1*OR(row_id=income_total_row, row_id=expenses_total_row, row_id=savings_total_row)</f>
        <v>0</v>
      </c>
      <c r="H80" s="5">
        <f t="shared" si="40"/>
        <v>1</v>
      </c>
      <c r="I80" s="4" t="str" cm="1">
        <f t="array" ref="I80">IFERROR(INDEX('Budget Planning'!$C:$C, header_row_id), "")</f>
        <v/>
      </c>
      <c r="J80" t="str" cm="1">
        <f t="array" ref="J80">IFERROR(INDEX('Budget Planning'!$C:$C, row_id), "")</f>
        <v/>
      </c>
      <c r="K80" s="52" t="str" cm="1">
        <f t="array" ref="K8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0" s="53" t="str" cm="1">
        <f t="array" ref="L80">IF(OR(is_header, is_empty), "", INDEX('Budget Planning'!$E:$EM, row_id, MATCH(IF(selected_period="Total Year", selected_year, DATE(selected_year, selected_period, 1)), 'Budget Planning'!$E$9:$EM$9, 0)))</f>
        <v/>
      </c>
      <c r="M80" s="50" t="str" cm="1">
        <f t="array" ref="M80">IF(is_category, IF(header_row_id=income_header_row, MATCH(income_min_row, $C:$C, 0), IF(header_row_id=expenses_header_row, MATCH(expenses_min_row, $C:$C, 0), IF(header_row_id=savings_header_row, MATCH(savings_min_row, $C:$C, 0), ""))), "")</f>
        <v/>
      </c>
      <c r="N80" s="51" t="str" cm="1">
        <f t="array" ref="N80">IF(is_category, IF(header_row_id=income_header_row, MATCH(income_max_row, $C:$C, 0), IF(header_row_id=expenses_header_row, MATCH(expenses_max_row, $C:$C, 0), IF(header_row_id=savings_header_row, MATCH(savings_max_row, $C:$C, 0), ""))), "")</f>
        <v/>
      </c>
      <c r="O80" s="50" t="str">
        <f t="shared" si="41"/>
        <v/>
      </c>
      <c r="P80" s="49" t="str">
        <f t="shared" ca="1" si="42"/>
        <v/>
      </c>
      <c r="Q80" s="49" t="str">
        <f t="shared" si="43"/>
        <v/>
      </c>
      <c r="R80" s="51" t="str">
        <f t="shared" ca="1" si="44"/>
        <v/>
      </c>
      <c r="S80" s="50" t="str">
        <f t="shared" si="45"/>
        <v/>
      </c>
      <c r="T80" s="49" t="str">
        <f t="shared" si="46"/>
        <v/>
      </c>
      <c r="U80" s="49" t="str">
        <f t="shared" ca="1" si="47"/>
        <v/>
      </c>
      <c r="V80" s="49" t="str">
        <f t="shared" si="48"/>
        <v/>
      </c>
      <c r="W80" s="47" t="str">
        <f t="shared" ca="1" si="49"/>
        <v/>
      </c>
      <c r="X80" s="56">
        <f t="shared" si="50"/>
        <v>-1</v>
      </c>
      <c r="Y80" s="57" t="str">
        <f t="shared" si="51"/>
        <v/>
      </c>
      <c r="Z80" s="59" t="str">
        <f t="shared" si="52"/>
        <v/>
      </c>
      <c r="AA80" s="59" t="str">
        <f t="shared" si="53"/>
        <v/>
      </c>
      <c r="AB80" s="58" t="str">
        <f t="shared" si="54"/>
        <v/>
      </c>
      <c r="AC80" s="59" t="str">
        <f t="shared" si="55"/>
        <v/>
      </c>
      <c r="AD80" s="59" t="str">
        <f t="shared" si="56"/>
        <v/>
      </c>
    </row>
    <row r="81" spans="3:30" x14ac:dyDescent="0.25">
      <c r="C81" s="4" cm="1">
        <f t="array" ref="C81">IF(C80=-1,-1, IF(C80&lt;income_max_row, C80+1, IF(C80=income_max_row, income_total_row, IF(C80=income_total_row, "/1", IF(C80="/1", expenses_header_row, IF(C80&lt;expenses_max_row, C80+1, IF(C80=expenses_max_row, expenses_total_row, IF(C80=expenses_total_row, "/2", IF(C80="/2", savings_header_row, IF(C80&lt;savings_max_row, C80+1, IF(C80=savings_max_row, savings_total_row, -1)))))))))))</f>
        <v>-1</v>
      </c>
      <c r="D81" s="5">
        <f t="shared" si="38"/>
        <v>-1</v>
      </c>
      <c r="E81" s="4" cm="1">
        <f t="array" ref="E81">1*OR(row_id=income_header_row, row_id=expenses_header_row, row_id=savings_header_row)</f>
        <v>0</v>
      </c>
      <c r="F81">
        <f t="shared" si="39"/>
        <v>0</v>
      </c>
      <c r="G81" cm="1">
        <f t="array" ref="G81">1*OR(row_id=income_total_row, row_id=expenses_total_row, row_id=savings_total_row)</f>
        <v>0</v>
      </c>
      <c r="H81" s="5">
        <f t="shared" si="40"/>
        <v>1</v>
      </c>
      <c r="I81" s="4" t="str" cm="1">
        <f t="array" ref="I81">IFERROR(INDEX('Budget Planning'!$C:$C, header_row_id), "")</f>
        <v/>
      </c>
      <c r="J81" t="str" cm="1">
        <f t="array" ref="J81">IFERROR(INDEX('Budget Planning'!$C:$C, row_id), "")</f>
        <v/>
      </c>
      <c r="K81" s="52" t="str" cm="1">
        <f t="array" ref="K8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1" s="53" t="str" cm="1">
        <f t="array" ref="L81">IF(OR(is_header, is_empty), "", INDEX('Budget Planning'!$E:$EM, row_id, MATCH(IF(selected_period="Total Year", selected_year, DATE(selected_year, selected_period, 1)), 'Budget Planning'!$E$9:$EM$9, 0)))</f>
        <v/>
      </c>
      <c r="M81" s="50" t="str" cm="1">
        <f t="array" ref="M81">IF(is_category, IF(header_row_id=income_header_row, MATCH(income_min_row, $C:$C, 0), IF(header_row_id=expenses_header_row, MATCH(expenses_min_row, $C:$C, 0), IF(header_row_id=savings_header_row, MATCH(savings_min_row, $C:$C, 0), ""))), "")</f>
        <v/>
      </c>
      <c r="N81" s="51" t="str" cm="1">
        <f t="array" ref="N81">IF(is_category, IF(header_row_id=income_header_row, MATCH(income_max_row, $C:$C, 0), IF(header_row_id=expenses_header_row, MATCH(expenses_max_row, $C:$C, 0), IF(header_row_id=savings_header_row, MATCH(savings_max_row, $C:$C, 0), ""))), "")</f>
        <v/>
      </c>
      <c r="O81" s="50" t="str">
        <f t="shared" si="41"/>
        <v/>
      </c>
      <c r="P81" s="49" t="str">
        <f t="shared" ca="1" si="42"/>
        <v/>
      </c>
      <c r="Q81" s="49" t="str">
        <f t="shared" si="43"/>
        <v/>
      </c>
      <c r="R81" s="51" t="str">
        <f t="shared" ca="1" si="44"/>
        <v/>
      </c>
      <c r="S81" s="50" t="str">
        <f t="shared" si="45"/>
        <v/>
      </c>
      <c r="T81" s="49" t="str">
        <f t="shared" si="46"/>
        <v/>
      </c>
      <c r="U81" s="49" t="str">
        <f t="shared" ca="1" si="47"/>
        <v/>
      </c>
      <c r="V81" s="49" t="str">
        <f t="shared" si="48"/>
        <v/>
      </c>
      <c r="W81" s="47" t="str">
        <f t="shared" ca="1" si="49"/>
        <v/>
      </c>
      <c r="X81" s="56">
        <f t="shared" si="50"/>
        <v>-1</v>
      </c>
      <c r="Y81" s="57" t="str">
        <f t="shared" si="51"/>
        <v/>
      </c>
      <c r="Z81" s="59" t="str">
        <f t="shared" si="52"/>
        <v/>
      </c>
      <c r="AA81" s="59" t="str">
        <f t="shared" si="53"/>
        <v/>
      </c>
      <c r="AB81" s="58" t="str">
        <f t="shared" si="54"/>
        <v/>
      </c>
      <c r="AC81" s="59" t="str">
        <f t="shared" si="55"/>
        <v/>
      </c>
      <c r="AD81" s="59" t="str">
        <f t="shared" si="56"/>
        <v/>
      </c>
    </row>
    <row r="82" spans="3:30" x14ac:dyDescent="0.25">
      <c r="C82" s="4" cm="1">
        <f t="array" ref="C82">IF(C81=-1,-1, IF(C81&lt;income_max_row, C81+1, IF(C81=income_max_row, income_total_row, IF(C81=income_total_row, "/1", IF(C81="/1", expenses_header_row, IF(C81&lt;expenses_max_row, C81+1, IF(C81=expenses_max_row, expenses_total_row, IF(C81=expenses_total_row, "/2", IF(C81="/2", savings_header_row, IF(C81&lt;savings_max_row, C81+1, IF(C81=savings_max_row, savings_total_row, -1)))))))))))</f>
        <v>-1</v>
      </c>
      <c r="D82" s="5">
        <f t="shared" si="38"/>
        <v>-1</v>
      </c>
      <c r="E82" s="4" cm="1">
        <f t="array" ref="E82">1*OR(row_id=income_header_row, row_id=expenses_header_row, row_id=savings_header_row)</f>
        <v>0</v>
      </c>
      <c r="F82">
        <f t="shared" si="39"/>
        <v>0</v>
      </c>
      <c r="G82" cm="1">
        <f t="array" ref="G82">1*OR(row_id=income_total_row, row_id=expenses_total_row, row_id=savings_total_row)</f>
        <v>0</v>
      </c>
      <c r="H82" s="5">
        <f t="shared" si="40"/>
        <v>1</v>
      </c>
      <c r="I82" s="4" t="str" cm="1">
        <f t="array" ref="I82">IFERROR(INDEX('Budget Planning'!$C:$C, header_row_id), "")</f>
        <v/>
      </c>
      <c r="J82" t="str" cm="1">
        <f t="array" ref="J82">IFERROR(INDEX('Budget Planning'!$C:$C, row_id), "")</f>
        <v/>
      </c>
      <c r="K82" s="52" t="str" cm="1">
        <f t="array" ref="K8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2" s="53" t="str" cm="1">
        <f t="array" ref="L82">IF(OR(is_header, is_empty), "", INDEX('Budget Planning'!$E:$EM, row_id, MATCH(IF(selected_period="Total Year", selected_year, DATE(selected_year, selected_period, 1)), 'Budget Planning'!$E$9:$EM$9, 0)))</f>
        <v/>
      </c>
      <c r="M82" s="50" t="str" cm="1">
        <f t="array" ref="M82">IF(is_category, IF(header_row_id=income_header_row, MATCH(income_min_row, $C:$C, 0), IF(header_row_id=expenses_header_row, MATCH(expenses_min_row, $C:$C, 0), IF(header_row_id=savings_header_row, MATCH(savings_min_row, $C:$C, 0), ""))), "")</f>
        <v/>
      </c>
      <c r="N82" s="51" t="str" cm="1">
        <f t="array" ref="N82">IF(is_category, IF(header_row_id=income_header_row, MATCH(income_max_row, $C:$C, 0), IF(header_row_id=expenses_header_row, MATCH(expenses_max_row, $C:$C, 0), IF(header_row_id=savings_header_row, MATCH(savings_max_row, $C:$C, 0), ""))), "")</f>
        <v/>
      </c>
      <c r="O82" s="50" t="str">
        <f t="shared" si="41"/>
        <v/>
      </c>
      <c r="P82" s="49" t="str">
        <f t="shared" ca="1" si="42"/>
        <v/>
      </c>
      <c r="Q82" s="49" t="str">
        <f t="shared" si="43"/>
        <v/>
      </c>
      <c r="R82" s="51" t="str">
        <f t="shared" ca="1" si="44"/>
        <v/>
      </c>
      <c r="S82" s="50" t="str">
        <f t="shared" si="45"/>
        <v/>
      </c>
      <c r="T82" s="49" t="str">
        <f t="shared" si="46"/>
        <v/>
      </c>
      <c r="U82" s="49" t="str">
        <f t="shared" ca="1" si="47"/>
        <v/>
      </c>
      <c r="V82" s="49" t="str">
        <f t="shared" si="48"/>
        <v/>
      </c>
      <c r="W82" s="47" t="str">
        <f t="shared" ca="1" si="49"/>
        <v/>
      </c>
      <c r="X82" s="56">
        <f t="shared" si="50"/>
        <v>-1</v>
      </c>
      <c r="Y82" s="57" t="str">
        <f t="shared" si="51"/>
        <v/>
      </c>
      <c r="Z82" s="59" t="str">
        <f t="shared" si="52"/>
        <v/>
      </c>
      <c r="AA82" s="59" t="str">
        <f t="shared" si="53"/>
        <v/>
      </c>
      <c r="AB82" s="58" t="str">
        <f t="shared" si="54"/>
        <v/>
      </c>
      <c r="AC82" s="59" t="str">
        <f t="shared" si="55"/>
        <v/>
      </c>
      <c r="AD82" s="59" t="str">
        <f t="shared" si="56"/>
        <v/>
      </c>
    </row>
    <row r="83" spans="3:30" x14ac:dyDescent="0.25">
      <c r="C83" s="4" cm="1">
        <f t="array" ref="C83">IF(C82=-1,-1, IF(C82&lt;income_max_row, C82+1, IF(C82=income_max_row, income_total_row, IF(C82=income_total_row, "/1", IF(C82="/1", expenses_header_row, IF(C82&lt;expenses_max_row, C82+1, IF(C82=expenses_max_row, expenses_total_row, IF(C82=expenses_total_row, "/2", IF(C82="/2", savings_header_row, IF(C82&lt;savings_max_row, C82+1, IF(C82=savings_max_row, savings_total_row, -1)))))))))))</f>
        <v>-1</v>
      </c>
      <c r="D83" s="5">
        <f t="shared" si="38"/>
        <v>-1</v>
      </c>
      <c r="E83" s="4" cm="1">
        <f t="array" ref="E83">1*OR(row_id=income_header_row, row_id=expenses_header_row, row_id=savings_header_row)</f>
        <v>0</v>
      </c>
      <c r="F83">
        <f t="shared" si="39"/>
        <v>0</v>
      </c>
      <c r="G83" cm="1">
        <f t="array" ref="G83">1*OR(row_id=income_total_row, row_id=expenses_total_row, row_id=savings_total_row)</f>
        <v>0</v>
      </c>
      <c r="H83" s="5">
        <f t="shared" si="40"/>
        <v>1</v>
      </c>
      <c r="I83" s="4" t="str" cm="1">
        <f t="array" ref="I83">IFERROR(INDEX('Budget Planning'!$C:$C, header_row_id), "")</f>
        <v/>
      </c>
      <c r="J83" t="str" cm="1">
        <f t="array" ref="J83">IFERROR(INDEX('Budget Planning'!$C:$C, row_id), "")</f>
        <v/>
      </c>
      <c r="K83" s="52" t="str" cm="1">
        <f t="array" ref="K8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3" s="53" t="str" cm="1">
        <f t="array" ref="L83">IF(OR(is_header, is_empty), "", INDEX('Budget Planning'!$E:$EM, row_id, MATCH(IF(selected_period="Total Year", selected_year, DATE(selected_year, selected_period, 1)), 'Budget Planning'!$E$9:$EM$9, 0)))</f>
        <v/>
      </c>
      <c r="M83" s="50" t="str" cm="1">
        <f t="array" ref="M83">IF(is_category, IF(header_row_id=income_header_row, MATCH(income_min_row, $C:$C, 0), IF(header_row_id=expenses_header_row, MATCH(expenses_min_row, $C:$C, 0), IF(header_row_id=savings_header_row, MATCH(savings_min_row, $C:$C, 0), ""))), "")</f>
        <v/>
      </c>
      <c r="N83" s="51" t="str" cm="1">
        <f t="array" ref="N83">IF(is_category, IF(header_row_id=income_header_row, MATCH(income_max_row, $C:$C, 0), IF(header_row_id=expenses_header_row, MATCH(expenses_max_row, $C:$C, 0), IF(header_row_id=savings_header_row, MATCH(savings_max_row, $C:$C, 0), ""))), "")</f>
        <v/>
      </c>
      <c r="O83" s="50" t="str">
        <f t="shared" si="41"/>
        <v/>
      </c>
      <c r="P83" s="49" t="str">
        <f t="shared" ca="1" si="42"/>
        <v/>
      </c>
      <c r="Q83" s="49" t="str">
        <f t="shared" si="43"/>
        <v/>
      </c>
      <c r="R83" s="51" t="str">
        <f t="shared" ca="1" si="44"/>
        <v/>
      </c>
      <c r="S83" s="50" t="str">
        <f t="shared" si="45"/>
        <v/>
      </c>
      <c r="T83" s="49" t="str">
        <f t="shared" si="46"/>
        <v/>
      </c>
      <c r="U83" s="49" t="str">
        <f t="shared" ca="1" si="47"/>
        <v/>
      </c>
      <c r="V83" s="49" t="str">
        <f t="shared" si="48"/>
        <v/>
      </c>
      <c r="W83" s="47" t="str">
        <f t="shared" ca="1" si="49"/>
        <v/>
      </c>
      <c r="X83" s="56">
        <f t="shared" si="50"/>
        <v>-1</v>
      </c>
      <c r="Y83" s="57" t="str">
        <f t="shared" si="51"/>
        <v/>
      </c>
      <c r="Z83" s="59" t="str">
        <f t="shared" si="52"/>
        <v/>
      </c>
      <c r="AA83" s="59" t="str">
        <f t="shared" si="53"/>
        <v/>
      </c>
      <c r="AB83" s="58" t="str">
        <f t="shared" si="54"/>
        <v/>
      </c>
      <c r="AC83" s="59" t="str">
        <f t="shared" si="55"/>
        <v/>
      </c>
      <c r="AD83" s="59" t="str">
        <f t="shared" si="56"/>
        <v/>
      </c>
    </row>
    <row r="84" spans="3:30" x14ac:dyDescent="0.25">
      <c r="C84" s="4" cm="1">
        <f t="array" ref="C84">IF(C83=-1,-1, IF(C83&lt;income_max_row, C83+1, IF(C83=income_max_row, income_total_row, IF(C83=income_total_row, "/1", IF(C83="/1", expenses_header_row, IF(C83&lt;expenses_max_row, C83+1, IF(C83=expenses_max_row, expenses_total_row, IF(C83=expenses_total_row, "/2", IF(C83="/2", savings_header_row, IF(C83&lt;savings_max_row, C83+1, IF(C83=savings_max_row, savings_total_row, -1)))))))))))</f>
        <v>-1</v>
      </c>
      <c r="D84" s="5">
        <f t="shared" si="38"/>
        <v>-1</v>
      </c>
      <c r="E84" s="4" cm="1">
        <f t="array" ref="E84">1*OR(row_id=income_header_row, row_id=expenses_header_row, row_id=savings_header_row)</f>
        <v>0</v>
      </c>
      <c r="F84">
        <f t="shared" si="39"/>
        <v>0</v>
      </c>
      <c r="G84" cm="1">
        <f t="array" ref="G84">1*OR(row_id=income_total_row, row_id=expenses_total_row, row_id=savings_total_row)</f>
        <v>0</v>
      </c>
      <c r="H84" s="5">
        <f t="shared" si="40"/>
        <v>1</v>
      </c>
      <c r="I84" s="4" t="str" cm="1">
        <f t="array" ref="I84">IFERROR(INDEX('Budget Planning'!$C:$C, header_row_id), "")</f>
        <v/>
      </c>
      <c r="J84" t="str" cm="1">
        <f t="array" ref="J84">IFERROR(INDEX('Budget Planning'!$C:$C, row_id), "")</f>
        <v/>
      </c>
      <c r="K84" s="52" t="str" cm="1">
        <f t="array" ref="K8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4" s="53" t="str" cm="1">
        <f t="array" ref="L84">IF(OR(is_header, is_empty), "", INDEX('Budget Planning'!$E:$EM, row_id, MATCH(IF(selected_period="Total Year", selected_year, DATE(selected_year, selected_period, 1)), 'Budget Planning'!$E$9:$EM$9, 0)))</f>
        <v/>
      </c>
      <c r="M84" s="50" t="str" cm="1">
        <f t="array" ref="M84">IF(is_category, IF(header_row_id=income_header_row, MATCH(income_min_row, $C:$C, 0), IF(header_row_id=expenses_header_row, MATCH(expenses_min_row, $C:$C, 0), IF(header_row_id=savings_header_row, MATCH(savings_min_row, $C:$C, 0), ""))), "")</f>
        <v/>
      </c>
      <c r="N84" s="51" t="str" cm="1">
        <f t="array" ref="N84">IF(is_category, IF(header_row_id=income_header_row, MATCH(income_max_row, $C:$C, 0), IF(header_row_id=expenses_header_row, MATCH(expenses_max_row, $C:$C, 0), IF(header_row_id=savings_header_row, MATCH(savings_max_row, $C:$C, 0), ""))), "")</f>
        <v/>
      </c>
      <c r="O84" s="50" t="str">
        <f t="shared" si="41"/>
        <v/>
      </c>
      <c r="P84" s="49" t="str">
        <f t="shared" ca="1" si="42"/>
        <v/>
      </c>
      <c r="Q84" s="49" t="str">
        <f t="shared" si="43"/>
        <v/>
      </c>
      <c r="R84" s="51" t="str">
        <f t="shared" ca="1" si="44"/>
        <v/>
      </c>
      <c r="S84" s="50" t="str">
        <f t="shared" si="45"/>
        <v/>
      </c>
      <c r="T84" s="49" t="str">
        <f t="shared" si="46"/>
        <v/>
      </c>
      <c r="U84" s="49" t="str">
        <f t="shared" ca="1" si="47"/>
        <v/>
      </c>
      <c r="V84" s="49" t="str">
        <f t="shared" si="48"/>
        <v/>
      </c>
      <c r="W84" s="47" t="str">
        <f t="shared" ca="1" si="49"/>
        <v/>
      </c>
      <c r="X84" s="56">
        <f t="shared" si="50"/>
        <v>-1</v>
      </c>
      <c r="Y84" s="57" t="str">
        <f t="shared" si="51"/>
        <v/>
      </c>
      <c r="Z84" s="59" t="str">
        <f t="shared" si="52"/>
        <v/>
      </c>
      <c r="AA84" s="59" t="str">
        <f t="shared" si="53"/>
        <v/>
      </c>
      <c r="AB84" s="58" t="str">
        <f t="shared" si="54"/>
        <v/>
      </c>
      <c r="AC84" s="59" t="str">
        <f t="shared" si="55"/>
        <v/>
      </c>
      <c r="AD84" s="59" t="str">
        <f t="shared" si="56"/>
        <v/>
      </c>
    </row>
    <row r="85" spans="3:30" x14ac:dyDescent="0.25">
      <c r="C85" s="4" cm="1">
        <f t="array" ref="C85">IF(C84=-1,-1, IF(C84&lt;income_max_row, C84+1, IF(C84=income_max_row, income_total_row, IF(C84=income_total_row, "/1", IF(C84="/1", expenses_header_row, IF(C84&lt;expenses_max_row, C84+1, IF(C84=expenses_max_row, expenses_total_row, IF(C84=expenses_total_row, "/2", IF(C84="/2", savings_header_row, IF(C84&lt;savings_max_row, C84+1, IF(C84=savings_max_row, savings_total_row, -1)))))))))))</f>
        <v>-1</v>
      </c>
      <c r="D85" s="5">
        <f t="shared" si="38"/>
        <v>-1</v>
      </c>
      <c r="E85" s="4" cm="1">
        <f t="array" ref="E85">1*OR(row_id=income_header_row, row_id=expenses_header_row, row_id=savings_header_row)</f>
        <v>0</v>
      </c>
      <c r="F85">
        <f t="shared" si="39"/>
        <v>0</v>
      </c>
      <c r="G85" cm="1">
        <f t="array" ref="G85">1*OR(row_id=income_total_row, row_id=expenses_total_row, row_id=savings_total_row)</f>
        <v>0</v>
      </c>
      <c r="H85" s="5">
        <f t="shared" si="40"/>
        <v>1</v>
      </c>
      <c r="I85" s="4" t="str" cm="1">
        <f t="array" ref="I85">IFERROR(INDEX('Budget Planning'!$C:$C, header_row_id), "")</f>
        <v/>
      </c>
      <c r="J85" t="str" cm="1">
        <f t="array" ref="J85">IFERROR(INDEX('Budget Planning'!$C:$C, row_id), "")</f>
        <v/>
      </c>
      <c r="K85" s="52" t="str" cm="1">
        <f t="array" ref="K8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5" s="53" t="str" cm="1">
        <f t="array" ref="L85">IF(OR(is_header, is_empty), "", INDEX('Budget Planning'!$E:$EM, row_id, MATCH(IF(selected_period="Total Year", selected_year, DATE(selected_year, selected_period, 1)), 'Budget Planning'!$E$9:$EM$9, 0)))</f>
        <v/>
      </c>
      <c r="M85" s="50" t="str" cm="1">
        <f t="array" ref="M85">IF(is_category, IF(header_row_id=income_header_row, MATCH(income_min_row, $C:$C, 0), IF(header_row_id=expenses_header_row, MATCH(expenses_min_row, $C:$C, 0), IF(header_row_id=savings_header_row, MATCH(savings_min_row, $C:$C, 0), ""))), "")</f>
        <v/>
      </c>
      <c r="N85" s="51" t="str" cm="1">
        <f t="array" ref="N85">IF(is_category, IF(header_row_id=income_header_row, MATCH(income_max_row, $C:$C, 0), IF(header_row_id=expenses_header_row, MATCH(expenses_max_row, $C:$C, 0), IF(header_row_id=savings_header_row, MATCH(savings_max_row, $C:$C, 0), ""))), "")</f>
        <v/>
      </c>
      <c r="O85" s="50" t="str">
        <f t="shared" si="41"/>
        <v/>
      </c>
      <c r="P85" s="49" t="str">
        <f t="shared" ca="1" si="42"/>
        <v/>
      </c>
      <c r="Q85" s="49" t="str">
        <f t="shared" si="43"/>
        <v/>
      </c>
      <c r="R85" s="51" t="str">
        <f t="shared" ca="1" si="44"/>
        <v/>
      </c>
      <c r="S85" s="50" t="str">
        <f t="shared" si="45"/>
        <v/>
      </c>
      <c r="T85" s="49" t="str">
        <f t="shared" si="46"/>
        <v/>
      </c>
      <c r="U85" s="49" t="str">
        <f t="shared" ca="1" si="47"/>
        <v/>
      </c>
      <c r="V85" s="49" t="str">
        <f t="shared" si="48"/>
        <v/>
      </c>
      <c r="W85" s="47" t="str">
        <f t="shared" ca="1" si="49"/>
        <v/>
      </c>
      <c r="X85" s="56">
        <f t="shared" si="50"/>
        <v>-1</v>
      </c>
      <c r="Y85" s="57" t="str">
        <f t="shared" si="51"/>
        <v/>
      </c>
      <c r="Z85" s="59" t="str">
        <f t="shared" si="52"/>
        <v/>
      </c>
      <c r="AA85" s="59" t="str">
        <f t="shared" si="53"/>
        <v/>
      </c>
      <c r="AB85" s="58" t="str">
        <f t="shared" si="54"/>
        <v/>
      </c>
      <c r="AC85" s="59" t="str">
        <f t="shared" si="55"/>
        <v/>
      </c>
      <c r="AD85" s="59" t="str">
        <f t="shared" si="56"/>
        <v/>
      </c>
    </row>
    <row r="86" spans="3:30" x14ac:dyDescent="0.25">
      <c r="C86" s="4" cm="1">
        <f t="array" ref="C86">IF(C85=-1,-1, IF(C85&lt;income_max_row, C85+1, IF(C85=income_max_row, income_total_row, IF(C85=income_total_row, "/1", IF(C85="/1", expenses_header_row, IF(C85&lt;expenses_max_row, C85+1, IF(C85=expenses_max_row, expenses_total_row, IF(C85=expenses_total_row, "/2", IF(C85="/2", savings_header_row, IF(C85&lt;savings_max_row, C85+1, IF(C85=savings_max_row, savings_total_row, -1)))))))))))</f>
        <v>-1</v>
      </c>
      <c r="D86" s="5">
        <f t="shared" si="38"/>
        <v>-1</v>
      </c>
      <c r="E86" s="4" cm="1">
        <f t="array" ref="E86">1*OR(row_id=income_header_row, row_id=expenses_header_row, row_id=savings_header_row)</f>
        <v>0</v>
      </c>
      <c r="F86">
        <f t="shared" si="39"/>
        <v>0</v>
      </c>
      <c r="G86" cm="1">
        <f t="array" ref="G86">1*OR(row_id=income_total_row, row_id=expenses_total_row, row_id=savings_total_row)</f>
        <v>0</v>
      </c>
      <c r="H86" s="5">
        <f t="shared" si="40"/>
        <v>1</v>
      </c>
      <c r="I86" s="4" t="str" cm="1">
        <f t="array" ref="I86">IFERROR(INDEX('Budget Planning'!$C:$C, header_row_id), "")</f>
        <v/>
      </c>
      <c r="J86" t="str" cm="1">
        <f t="array" ref="J86">IFERROR(INDEX('Budget Planning'!$C:$C, row_id), "")</f>
        <v/>
      </c>
      <c r="K86" s="52" t="str" cm="1">
        <f t="array" ref="K8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6" s="53" t="str" cm="1">
        <f t="array" ref="L86">IF(OR(is_header, is_empty), "", INDEX('Budget Planning'!$E:$EM, row_id, MATCH(IF(selected_period="Total Year", selected_year, DATE(selected_year, selected_period, 1)), 'Budget Planning'!$E$9:$EM$9, 0)))</f>
        <v/>
      </c>
      <c r="M86" s="50" t="str" cm="1">
        <f t="array" ref="M86">IF(is_category, IF(header_row_id=income_header_row, MATCH(income_min_row, $C:$C, 0), IF(header_row_id=expenses_header_row, MATCH(expenses_min_row, $C:$C, 0), IF(header_row_id=savings_header_row, MATCH(savings_min_row, $C:$C, 0), ""))), "")</f>
        <v/>
      </c>
      <c r="N86" s="51" t="str" cm="1">
        <f t="array" ref="N86">IF(is_category, IF(header_row_id=income_header_row, MATCH(income_max_row, $C:$C, 0), IF(header_row_id=expenses_header_row, MATCH(expenses_max_row, $C:$C, 0), IF(header_row_id=savings_header_row, MATCH(savings_max_row, $C:$C, 0), ""))), "")</f>
        <v/>
      </c>
      <c r="O86" s="50" t="str">
        <f t="shared" si="41"/>
        <v/>
      </c>
      <c r="P86" s="49" t="str">
        <f t="shared" ca="1" si="42"/>
        <v/>
      </c>
      <c r="Q86" s="49" t="str">
        <f t="shared" si="43"/>
        <v/>
      </c>
      <c r="R86" s="51" t="str">
        <f t="shared" ca="1" si="44"/>
        <v/>
      </c>
      <c r="S86" s="50" t="str">
        <f t="shared" si="45"/>
        <v/>
      </c>
      <c r="T86" s="49" t="str">
        <f t="shared" si="46"/>
        <v/>
      </c>
      <c r="U86" s="49" t="str">
        <f t="shared" ca="1" si="47"/>
        <v/>
      </c>
      <c r="V86" s="49" t="str">
        <f t="shared" si="48"/>
        <v/>
      </c>
      <c r="W86" s="47" t="str">
        <f t="shared" ca="1" si="49"/>
        <v/>
      </c>
      <c r="X86" s="56">
        <f t="shared" si="50"/>
        <v>-1</v>
      </c>
      <c r="Y86" s="57" t="str">
        <f t="shared" si="51"/>
        <v/>
      </c>
      <c r="Z86" s="59" t="str">
        <f t="shared" si="52"/>
        <v/>
      </c>
      <c r="AA86" s="59" t="str">
        <f t="shared" si="53"/>
        <v/>
      </c>
      <c r="AB86" s="58" t="str">
        <f t="shared" si="54"/>
        <v/>
      </c>
      <c r="AC86" s="59" t="str">
        <f t="shared" si="55"/>
        <v/>
      </c>
      <c r="AD86" s="59" t="str">
        <f t="shared" si="56"/>
        <v/>
      </c>
    </row>
    <row r="87" spans="3:30" x14ac:dyDescent="0.25">
      <c r="C87" s="4" cm="1">
        <f t="array" ref="C87">IF(C86=-1,-1, IF(C86&lt;income_max_row, C86+1, IF(C86=income_max_row, income_total_row, IF(C86=income_total_row, "/1", IF(C86="/1", expenses_header_row, IF(C86&lt;expenses_max_row, C86+1, IF(C86=expenses_max_row, expenses_total_row, IF(C86=expenses_total_row, "/2", IF(C86="/2", savings_header_row, IF(C86&lt;savings_max_row, C86+1, IF(C86=savings_max_row, savings_total_row, -1)))))))))))</f>
        <v>-1</v>
      </c>
      <c r="D87" s="5">
        <f t="shared" si="38"/>
        <v>-1</v>
      </c>
      <c r="E87" s="4" cm="1">
        <f t="array" ref="E87">1*OR(row_id=income_header_row, row_id=expenses_header_row, row_id=savings_header_row)</f>
        <v>0</v>
      </c>
      <c r="F87">
        <f t="shared" si="39"/>
        <v>0</v>
      </c>
      <c r="G87" cm="1">
        <f t="array" ref="G87">1*OR(row_id=income_total_row, row_id=expenses_total_row, row_id=savings_total_row)</f>
        <v>0</v>
      </c>
      <c r="H87" s="5">
        <f t="shared" si="40"/>
        <v>1</v>
      </c>
      <c r="I87" s="4" t="str" cm="1">
        <f t="array" ref="I87">IFERROR(INDEX('Budget Planning'!$C:$C, header_row_id), "")</f>
        <v/>
      </c>
      <c r="J87" t="str" cm="1">
        <f t="array" ref="J87">IFERROR(INDEX('Budget Planning'!$C:$C, row_id), "")</f>
        <v/>
      </c>
      <c r="K87" s="52" t="str" cm="1">
        <f t="array" ref="K8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7" s="53" t="str" cm="1">
        <f t="array" ref="L87">IF(OR(is_header, is_empty), "", INDEX('Budget Planning'!$E:$EM, row_id, MATCH(IF(selected_period="Total Year", selected_year, DATE(selected_year, selected_period, 1)), 'Budget Planning'!$E$9:$EM$9, 0)))</f>
        <v/>
      </c>
      <c r="M87" s="50" t="str" cm="1">
        <f t="array" ref="M87">IF(is_category, IF(header_row_id=income_header_row, MATCH(income_min_row, $C:$C, 0), IF(header_row_id=expenses_header_row, MATCH(expenses_min_row, $C:$C, 0), IF(header_row_id=savings_header_row, MATCH(savings_min_row, $C:$C, 0), ""))), "")</f>
        <v/>
      </c>
      <c r="N87" s="51" t="str" cm="1">
        <f t="array" ref="N87">IF(is_category, IF(header_row_id=income_header_row, MATCH(income_max_row, $C:$C, 0), IF(header_row_id=expenses_header_row, MATCH(expenses_max_row, $C:$C, 0), IF(header_row_id=savings_header_row, MATCH(savings_max_row, $C:$C, 0), ""))), "")</f>
        <v/>
      </c>
      <c r="O87" s="50" t="str">
        <f t="shared" si="41"/>
        <v/>
      </c>
      <c r="P87" s="49" t="str">
        <f t="shared" ca="1" si="42"/>
        <v/>
      </c>
      <c r="Q87" s="49" t="str">
        <f t="shared" si="43"/>
        <v/>
      </c>
      <c r="R87" s="51" t="str">
        <f t="shared" ca="1" si="44"/>
        <v/>
      </c>
      <c r="S87" s="50" t="str">
        <f t="shared" si="45"/>
        <v/>
      </c>
      <c r="T87" s="49" t="str">
        <f t="shared" si="46"/>
        <v/>
      </c>
      <c r="U87" s="49" t="str">
        <f t="shared" ca="1" si="47"/>
        <v/>
      </c>
      <c r="V87" s="49" t="str">
        <f t="shared" si="48"/>
        <v/>
      </c>
      <c r="W87" s="47" t="str">
        <f t="shared" ca="1" si="49"/>
        <v/>
      </c>
      <c r="X87" s="56">
        <f t="shared" si="50"/>
        <v>-1</v>
      </c>
      <c r="Y87" s="57" t="str">
        <f t="shared" si="51"/>
        <v/>
      </c>
      <c r="Z87" s="59" t="str">
        <f t="shared" si="52"/>
        <v/>
      </c>
      <c r="AA87" s="59" t="str">
        <f t="shared" si="53"/>
        <v/>
      </c>
      <c r="AB87" s="58" t="str">
        <f t="shared" si="54"/>
        <v/>
      </c>
      <c r="AC87" s="59" t="str">
        <f t="shared" si="55"/>
        <v/>
      </c>
      <c r="AD87" s="59" t="str">
        <f t="shared" si="56"/>
        <v/>
      </c>
    </row>
    <row r="88" spans="3:30" x14ac:dyDescent="0.25">
      <c r="C88" s="4" cm="1">
        <f t="array" ref="C88">IF(C87=-1,-1, IF(C87&lt;income_max_row, C87+1, IF(C87=income_max_row, income_total_row, IF(C87=income_total_row, "/1", IF(C87="/1", expenses_header_row, IF(C87&lt;expenses_max_row, C87+1, IF(C87=expenses_max_row, expenses_total_row, IF(C87=expenses_total_row, "/2", IF(C87="/2", savings_header_row, IF(C87&lt;savings_max_row, C87+1, IF(C87=savings_max_row, savings_total_row, -1)))))))))))</f>
        <v>-1</v>
      </c>
      <c r="D88" s="5">
        <f t="shared" si="38"/>
        <v>-1</v>
      </c>
      <c r="E88" s="4" cm="1">
        <f t="array" ref="E88">1*OR(row_id=income_header_row, row_id=expenses_header_row, row_id=savings_header_row)</f>
        <v>0</v>
      </c>
      <c r="F88">
        <f t="shared" si="39"/>
        <v>0</v>
      </c>
      <c r="G88" cm="1">
        <f t="array" ref="G88">1*OR(row_id=income_total_row, row_id=expenses_total_row, row_id=savings_total_row)</f>
        <v>0</v>
      </c>
      <c r="H88" s="5">
        <f t="shared" si="40"/>
        <v>1</v>
      </c>
      <c r="I88" s="4" t="str" cm="1">
        <f t="array" ref="I88">IFERROR(INDEX('Budget Planning'!$C:$C, header_row_id), "")</f>
        <v/>
      </c>
      <c r="J88" t="str" cm="1">
        <f t="array" ref="J88">IFERROR(INDEX('Budget Planning'!$C:$C, row_id), "")</f>
        <v/>
      </c>
      <c r="K88" s="52" t="str" cm="1">
        <f t="array" ref="K8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8" s="53" t="str" cm="1">
        <f t="array" ref="L88">IF(OR(is_header, is_empty), "", INDEX('Budget Planning'!$E:$EM, row_id, MATCH(IF(selected_period="Total Year", selected_year, DATE(selected_year, selected_period, 1)), 'Budget Planning'!$E$9:$EM$9, 0)))</f>
        <v/>
      </c>
      <c r="M88" s="50" t="str" cm="1">
        <f t="array" ref="M88">IF(is_category, IF(header_row_id=income_header_row, MATCH(income_min_row, $C:$C, 0), IF(header_row_id=expenses_header_row, MATCH(expenses_min_row, $C:$C, 0), IF(header_row_id=savings_header_row, MATCH(savings_min_row, $C:$C, 0), ""))), "")</f>
        <v/>
      </c>
      <c r="N88" s="51" t="str" cm="1">
        <f t="array" ref="N88">IF(is_category, IF(header_row_id=income_header_row, MATCH(income_max_row, $C:$C, 0), IF(header_row_id=expenses_header_row, MATCH(expenses_max_row, $C:$C, 0), IF(header_row_id=savings_header_row, MATCH(savings_max_row, $C:$C, 0), ""))), "")</f>
        <v/>
      </c>
      <c r="O88" s="50" t="str">
        <f t="shared" si="41"/>
        <v/>
      </c>
      <c r="P88" s="49" t="str">
        <f t="shared" ca="1" si="42"/>
        <v/>
      </c>
      <c r="Q88" s="49" t="str">
        <f t="shared" si="43"/>
        <v/>
      </c>
      <c r="R88" s="51" t="str">
        <f t="shared" ca="1" si="44"/>
        <v/>
      </c>
      <c r="S88" s="50" t="str">
        <f t="shared" si="45"/>
        <v/>
      </c>
      <c r="T88" s="49" t="str">
        <f t="shared" si="46"/>
        <v/>
      </c>
      <c r="U88" s="49" t="str">
        <f t="shared" ca="1" si="47"/>
        <v/>
      </c>
      <c r="V88" s="49" t="str">
        <f t="shared" si="48"/>
        <v/>
      </c>
      <c r="W88" s="47" t="str">
        <f t="shared" ca="1" si="49"/>
        <v/>
      </c>
      <c r="X88" s="56">
        <f t="shared" si="50"/>
        <v>-1</v>
      </c>
      <c r="Y88" s="57" t="str">
        <f t="shared" si="51"/>
        <v/>
      </c>
      <c r="Z88" s="59" t="str">
        <f t="shared" si="52"/>
        <v/>
      </c>
      <c r="AA88" s="59" t="str">
        <f t="shared" si="53"/>
        <v/>
      </c>
      <c r="AB88" s="58" t="str">
        <f t="shared" si="54"/>
        <v/>
      </c>
      <c r="AC88" s="59" t="str">
        <f t="shared" si="55"/>
        <v/>
      </c>
      <c r="AD88" s="59" t="str">
        <f t="shared" si="56"/>
        <v/>
      </c>
    </row>
    <row r="89" spans="3:30" x14ac:dyDescent="0.25">
      <c r="C89" s="4" cm="1">
        <f t="array" ref="C89">IF(C88=-1,-1, IF(C88&lt;income_max_row, C88+1, IF(C88=income_max_row, income_total_row, IF(C88=income_total_row, "/1", IF(C88="/1", expenses_header_row, IF(C88&lt;expenses_max_row, C88+1, IF(C88=expenses_max_row, expenses_total_row, IF(C88=expenses_total_row, "/2", IF(C88="/2", savings_header_row, IF(C88&lt;savings_max_row, C88+1, IF(C88=savings_max_row, savings_total_row, -1)))))))))))</f>
        <v>-1</v>
      </c>
      <c r="D89" s="5">
        <f t="shared" si="38"/>
        <v>-1</v>
      </c>
      <c r="E89" s="4" cm="1">
        <f t="array" ref="E89">1*OR(row_id=income_header_row, row_id=expenses_header_row, row_id=savings_header_row)</f>
        <v>0</v>
      </c>
      <c r="F89">
        <f t="shared" si="39"/>
        <v>0</v>
      </c>
      <c r="G89" cm="1">
        <f t="array" ref="G89">1*OR(row_id=income_total_row, row_id=expenses_total_row, row_id=savings_total_row)</f>
        <v>0</v>
      </c>
      <c r="H89" s="5">
        <f t="shared" si="40"/>
        <v>1</v>
      </c>
      <c r="I89" s="4" t="str" cm="1">
        <f t="array" ref="I89">IFERROR(INDEX('Budget Planning'!$C:$C, header_row_id), "")</f>
        <v/>
      </c>
      <c r="J89" t="str" cm="1">
        <f t="array" ref="J89">IFERROR(INDEX('Budget Planning'!$C:$C, row_id), "")</f>
        <v/>
      </c>
      <c r="K89" s="52" t="str" cm="1">
        <f t="array" ref="K8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89" s="53" t="str" cm="1">
        <f t="array" ref="L89">IF(OR(is_header, is_empty), "", INDEX('Budget Planning'!$E:$EM, row_id, MATCH(IF(selected_period="Total Year", selected_year, DATE(selected_year, selected_period, 1)), 'Budget Planning'!$E$9:$EM$9, 0)))</f>
        <v/>
      </c>
      <c r="M89" s="50" t="str" cm="1">
        <f t="array" ref="M89">IF(is_category, IF(header_row_id=income_header_row, MATCH(income_min_row, $C:$C, 0), IF(header_row_id=expenses_header_row, MATCH(expenses_min_row, $C:$C, 0), IF(header_row_id=savings_header_row, MATCH(savings_min_row, $C:$C, 0), ""))), "")</f>
        <v/>
      </c>
      <c r="N89" s="51" t="str" cm="1">
        <f t="array" ref="N89">IF(is_category, IF(header_row_id=income_header_row, MATCH(income_max_row, $C:$C, 0), IF(header_row_id=expenses_header_row, MATCH(expenses_max_row, $C:$C, 0), IF(header_row_id=savings_header_row, MATCH(savings_max_row, $C:$C, 0), ""))), "")</f>
        <v/>
      </c>
      <c r="O89" s="50" t="str">
        <f t="shared" si="41"/>
        <v/>
      </c>
      <c r="P89" s="49" t="str">
        <f t="shared" ca="1" si="42"/>
        <v/>
      </c>
      <c r="Q89" s="49" t="str">
        <f t="shared" si="43"/>
        <v/>
      </c>
      <c r="R89" s="51" t="str">
        <f t="shared" ca="1" si="44"/>
        <v/>
      </c>
      <c r="S89" s="50" t="str">
        <f t="shared" si="45"/>
        <v/>
      </c>
      <c r="T89" s="49" t="str">
        <f t="shared" si="46"/>
        <v/>
      </c>
      <c r="U89" s="49" t="str">
        <f t="shared" ca="1" si="47"/>
        <v/>
      </c>
      <c r="V89" s="49" t="str">
        <f t="shared" si="48"/>
        <v/>
      </c>
      <c r="W89" s="47" t="str">
        <f t="shared" ca="1" si="49"/>
        <v/>
      </c>
      <c r="X89" s="56">
        <f t="shared" si="50"/>
        <v>-1</v>
      </c>
      <c r="Y89" s="57" t="str">
        <f t="shared" si="51"/>
        <v/>
      </c>
      <c r="Z89" s="59" t="str">
        <f t="shared" si="52"/>
        <v/>
      </c>
      <c r="AA89" s="59" t="str">
        <f t="shared" si="53"/>
        <v/>
      </c>
      <c r="AB89" s="58" t="str">
        <f t="shared" si="54"/>
        <v/>
      </c>
      <c r="AC89" s="59" t="str">
        <f t="shared" si="55"/>
        <v/>
      </c>
      <c r="AD89" s="59" t="str">
        <f t="shared" si="56"/>
        <v/>
      </c>
    </row>
    <row r="90" spans="3:30" x14ac:dyDescent="0.25">
      <c r="C90" s="4" cm="1">
        <f t="array" ref="C90">IF(C89=-1,-1, IF(C89&lt;income_max_row, C89+1, IF(C89=income_max_row, income_total_row, IF(C89=income_total_row, "/1", IF(C89="/1", expenses_header_row, IF(C89&lt;expenses_max_row, C89+1, IF(C89=expenses_max_row, expenses_total_row, IF(C89=expenses_total_row, "/2", IF(C89="/2", savings_header_row, IF(C89&lt;savings_max_row, C89+1, IF(C89=savings_max_row, savings_total_row, -1)))))))))))</f>
        <v>-1</v>
      </c>
      <c r="D90" s="5">
        <f t="shared" si="38"/>
        <v>-1</v>
      </c>
      <c r="E90" s="4" cm="1">
        <f t="array" ref="E90">1*OR(row_id=income_header_row, row_id=expenses_header_row, row_id=savings_header_row)</f>
        <v>0</v>
      </c>
      <c r="F90">
        <f t="shared" si="39"/>
        <v>0</v>
      </c>
      <c r="G90" cm="1">
        <f t="array" ref="G90">1*OR(row_id=income_total_row, row_id=expenses_total_row, row_id=savings_total_row)</f>
        <v>0</v>
      </c>
      <c r="H90" s="5">
        <f t="shared" si="40"/>
        <v>1</v>
      </c>
      <c r="I90" s="4" t="str" cm="1">
        <f t="array" ref="I90">IFERROR(INDEX('Budget Planning'!$C:$C, header_row_id), "")</f>
        <v/>
      </c>
      <c r="J90" t="str" cm="1">
        <f t="array" ref="J90">IFERROR(INDEX('Budget Planning'!$C:$C, row_id), "")</f>
        <v/>
      </c>
      <c r="K90" s="52" t="str" cm="1">
        <f t="array" ref="K9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0" s="53" t="str" cm="1">
        <f t="array" ref="L90">IF(OR(is_header, is_empty), "", INDEX('Budget Planning'!$E:$EM, row_id, MATCH(IF(selected_period="Total Year", selected_year, DATE(selected_year, selected_period, 1)), 'Budget Planning'!$E$9:$EM$9, 0)))</f>
        <v/>
      </c>
      <c r="M90" s="50" t="str" cm="1">
        <f t="array" ref="M90">IF(is_category, IF(header_row_id=income_header_row, MATCH(income_min_row, $C:$C, 0), IF(header_row_id=expenses_header_row, MATCH(expenses_min_row, $C:$C, 0), IF(header_row_id=savings_header_row, MATCH(savings_min_row, $C:$C, 0), ""))), "")</f>
        <v/>
      </c>
      <c r="N90" s="51" t="str" cm="1">
        <f t="array" ref="N90">IF(is_category, IF(header_row_id=income_header_row, MATCH(income_max_row, $C:$C, 0), IF(header_row_id=expenses_header_row, MATCH(expenses_max_row, $C:$C, 0), IF(header_row_id=savings_header_row, MATCH(savings_max_row, $C:$C, 0), ""))), "")</f>
        <v/>
      </c>
      <c r="O90" s="50" t="str">
        <f t="shared" si="41"/>
        <v/>
      </c>
      <c r="P90" s="49" t="str">
        <f t="shared" ca="1" si="42"/>
        <v/>
      </c>
      <c r="Q90" s="49" t="str">
        <f t="shared" si="43"/>
        <v/>
      </c>
      <c r="R90" s="51" t="str">
        <f t="shared" ca="1" si="44"/>
        <v/>
      </c>
      <c r="S90" s="50" t="str">
        <f t="shared" si="45"/>
        <v/>
      </c>
      <c r="T90" s="49" t="str">
        <f t="shared" si="46"/>
        <v/>
      </c>
      <c r="U90" s="49" t="str">
        <f t="shared" ca="1" si="47"/>
        <v/>
      </c>
      <c r="V90" s="49" t="str">
        <f t="shared" si="48"/>
        <v/>
      </c>
      <c r="W90" s="47" t="str">
        <f t="shared" ca="1" si="49"/>
        <v/>
      </c>
      <c r="X90" s="56">
        <f t="shared" si="50"/>
        <v>-1</v>
      </c>
      <c r="Y90" s="57" t="str">
        <f t="shared" si="51"/>
        <v/>
      </c>
      <c r="Z90" s="59" t="str">
        <f t="shared" si="52"/>
        <v/>
      </c>
      <c r="AA90" s="59" t="str">
        <f t="shared" si="53"/>
        <v/>
      </c>
      <c r="AB90" s="58" t="str">
        <f t="shared" si="54"/>
        <v/>
      </c>
      <c r="AC90" s="59" t="str">
        <f t="shared" si="55"/>
        <v/>
      </c>
      <c r="AD90" s="59" t="str">
        <f t="shared" si="56"/>
        <v/>
      </c>
    </row>
    <row r="91" spans="3:30" x14ac:dyDescent="0.25">
      <c r="C91" s="4" cm="1">
        <f t="array" ref="C91">IF(C90=-1,-1, IF(C90&lt;income_max_row, C90+1, IF(C90=income_max_row, income_total_row, IF(C90=income_total_row, "/1", IF(C90="/1", expenses_header_row, IF(C90&lt;expenses_max_row, C90+1, IF(C90=expenses_max_row, expenses_total_row, IF(C90=expenses_total_row, "/2", IF(C90="/2", savings_header_row, IF(C90&lt;savings_max_row, C90+1, IF(C90=savings_max_row, savings_total_row, -1)))))))))))</f>
        <v>-1</v>
      </c>
      <c r="D91" s="5">
        <f t="shared" si="38"/>
        <v>-1</v>
      </c>
      <c r="E91" s="4" cm="1">
        <f t="array" ref="E91">1*OR(row_id=income_header_row, row_id=expenses_header_row, row_id=savings_header_row)</f>
        <v>0</v>
      </c>
      <c r="F91">
        <f t="shared" si="39"/>
        <v>0</v>
      </c>
      <c r="G91" cm="1">
        <f t="array" ref="G91">1*OR(row_id=income_total_row, row_id=expenses_total_row, row_id=savings_total_row)</f>
        <v>0</v>
      </c>
      <c r="H91" s="5">
        <f t="shared" si="40"/>
        <v>1</v>
      </c>
      <c r="I91" s="4" t="str" cm="1">
        <f t="array" ref="I91">IFERROR(INDEX('Budget Planning'!$C:$C, header_row_id), "")</f>
        <v/>
      </c>
      <c r="J91" t="str" cm="1">
        <f t="array" ref="J91">IFERROR(INDEX('Budget Planning'!$C:$C, row_id), "")</f>
        <v/>
      </c>
      <c r="K91" s="52" t="str" cm="1">
        <f t="array" ref="K9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1" s="53" t="str" cm="1">
        <f t="array" ref="L91">IF(OR(is_header, is_empty), "", INDEX('Budget Planning'!$E:$EM, row_id, MATCH(IF(selected_period="Total Year", selected_year, DATE(selected_year, selected_period, 1)), 'Budget Planning'!$E$9:$EM$9, 0)))</f>
        <v/>
      </c>
      <c r="M91" s="50" t="str" cm="1">
        <f t="array" ref="M91">IF(is_category, IF(header_row_id=income_header_row, MATCH(income_min_row, $C:$C, 0), IF(header_row_id=expenses_header_row, MATCH(expenses_min_row, $C:$C, 0), IF(header_row_id=savings_header_row, MATCH(savings_min_row, $C:$C, 0), ""))), "")</f>
        <v/>
      </c>
      <c r="N91" s="51" t="str" cm="1">
        <f t="array" ref="N91">IF(is_category, IF(header_row_id=income_header_row, MATCH(income_max_row, $C:$C, 0), IF(header_row_id=expenses_header_row, MATCH(expenses_max_row, $C:$C, 0), IF(header_row_id=savings_header_row, MATCH(savings_max_row, $C:$C, 0), ""))), "")</f>
        <v/>
      </c>
      <c r="O91" s="50" t="str">
        <f t="shared" si="41"/>
        <v/>
      </c>
      <c r="P91" s="49" t="str">
        <f t="shared" ca="1" si="42"/>
        <v/>
      </c>
      <c r="Q91" s="49" t="str">
        <f t="shared" si="43"/>
        <v/>
      </c>
      <c r="R91" s="51" t="str">
        <f t="shared" ca="1" si="44"/>
        <v/>
      </c>
      <c r="S91" s="50" t="str">
        <f t="shared" si="45"/>
        <v/>
      </c>
      <c r="T91" s="49" t="str">
        <f t="shared" si="46"/>
        <v/>
      </c>
      <c r="U91" s="49" t="str">
        <f t="shared" ca="1" si="47"/>
        <v/>
      </c>
      <c r="V91" s="49" t="str">
        <f t="shared" si="48"/>
        <v/>
      </c>
      <c r="W91" s="47" t="str">
        <f t="shared" ca="1" si="49"/>
        <v/>
      </c>
      <c r="X91" s="56">
        <f t="shared" si="50"/>
        <v>-1</v>
      </c>
      <c r="Y91" s="57" t="str">
        <f t="shared" si="51"/>
        <v/>
      </c>
      <c r="Z91" s="59" t="str">
        <f t="shared" si="52"/>
        <v/>
      </c>
      <c r="AA91" s="59" t="str">
        <f t="shared" si="53"/>
        <v/>
      </c>
      <c r="AB91" s="58" t="str">
        <f t="shared" si="54"/>
        <v/>
      </c>
      <c r="AC91" s="59" t="str">
        <f t="shared" si="55"/>
        <v/>
      </c>
      <c r="AD91" s="59" t="str">
        <f t="shared" si="56"/>
        <v/>
      </c>
    </row>
    <row r="92" spans="3:30" x14ac:dyDescent="0.25">
      <c r="C92" s="4" cm="1">
        <f t="array" ref="C92">IF(C91=-1,-1, IF(C91&lt;income_max_row, C91+1, IF(C91=income_max_row, income_total_row, IF(C91=income_total_row, "/1", IF(C91="/1", expenses_header_row, IF(C91&lt;expenses_max_row, C91+1, IF(C91=expenses_max_row, expenses_total_row, IF(C91=expenses_total_row, "/2", IF(C91="/2", savings_header_row, IF(C91&lt;savings_max_row, C91+1, IF(C91=savings_max_row, savings_total_row, -1)))))))))))</f>
        <v>-1</v>
      </c>
      <c r="D92" s="5">
        <f t="shared" si="38"/>
        <v>-1</v>
      </c>
      <c r="E92" s="4" cm="1">
        <f t="array" ref="E92">1*OR(row_id=income_header_row, row_id=expenses_header_row, row_id=savings_header_row)</f>
        <v>0</v>
      </c>
      <c r="F92">
        <f t="shared" si="39"/>
        <v>0</v>
      </c>
      <c r="G92" cm="1">
        <f t="array" ref="G92">1*OR(row_id=income_total_row, row_id=expenses_total_row, row_id=savings_total_row)</f>
        <v>0</v>
      </c>
      <c r="H92" s="5">
        <f t="shared" si="40"/>
        <v>1</v>
      </c>
      <c r="I92" s="4" t="str" cm="1">
        <f t="array" ref="I92">IFERROR(INDEX('Budget Planning'!$C:$C, header_row_id), "")</f>
        <v/>
      </c>
      <c r="J92" t="str" cm="1">
        <f t="array" ref="J92">IFERROR(INDEX('Budget Planning'!$C:$C, row_id), "")</f>
        <v/>
      </c>
      <c r="K92" s="52" t="str" cm="1">
        <f t="array" ref="K9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2" s="53" t="str" cm="1">
        <f t="array" ref="L92">IF(OR(is_header, is_empty), "", INDEX('Budget Planning'!$E:$EM, row_id, MATCH(IF(selected_period="Total Year", selected_year, DATE(selected_year, selected_period, 1)), 'Budget Planning'!$E$9:$EM$9, 0)))</f>
        <v/>
      </c>
      <c r="M92" s="50" t="str" cm="1">
        <f t="array" ref="M92">IF(is_category, IF(header_row_id=income_header_row, MATCH(income_min_row, $C:$C, 0), IF(header_row_id=expenses_header_row, MATCH(expenses_min_row, $C:$C, 0), IF(header_row_id=savings_header_row, MATCH(savings_min_row, $C:$C, 0), ""))), "")</f>
        <v/>
      </c>
      <c r="N92" s="51" t="str" cm="1">
        <f t="array" ref="N92">IF(is_category, IF(header_row_id=income_header_row, MATCH(income_max_row, $C:$C, 0), IF(header_row_id=expenses_header_row, MATCH(expenses_max_row, $C:$C, 0), IF(header_row_id=savings_header_row, MATCH(savings_max_row, $C:$C, 0), ""))), "")</f>
        <v/>
      </c>
      <c r="O92" s="50" t="str">
        <f t="shared" si="41"/>
        <v/>
      </c>
      <c r="P92" s="49" t="str">
        <f t="shared" ca="1" si="42"/>
        <v/>
      </c>
      <c r="Q92" s="49" t="str">
        <f t="shared" si="43"/>
        <v/>
      </c>
      <c r="R92" s="51" t="str">
        <f t="shared" ca="1" si="44"/>
        <v/>
      </c>
      <c r="S92" s="50" t="str">
        <f t="shared" si="45"/>
        <v/>
      </c>
      <c r="T92" s="49" t="str">
        <f t="shared" si="46"/>
        <v/>
      </c>
      <c r="U92" s="49" t="str">
        <f t="shared" ca="1" si="47"/>
        <v/>
      </c>
      <c r="V92" s="49" t="str">
        <f t="shared" si="48"/>
        <v/>
      </c>
      <c r="W92" s="47" t="str">
        <f t="shared" ca="1" si="49"/>
        <v/>
      </c>
      <c r="X92" s="56">
        <f t="shared" si="50"/>
        <v>-1</v>
      </c>
      <c r="Y92" s="57" t="str">
        <f t="shared" si="51"/>
        <v/>
      </c>
      <c r="Z92" s="59" t="str">
        <f t="shared" si="52"/>
        <v/>
      </c>
      <c r="AA92" s="59" t="str">
        <f t="shared" si="53"/>
        <v/>
      </c>
      <c r="AB92" s="58" t="str">
        <f t="shared" si="54"/>
        <v/>
      </c>
      <c r="AC92" s="59" t="str">
        <f t="shared" si="55"/>
        <v/>
      </c>
      <c r="AD92" s="59" t="str">
        <f t="shared" si="56"/>
        <v/>
      </c>
    </row>
    <row r="93" spans="3:30" x14ac:dyDescent="0.25">
      <c r="C93" s="4" cm="1">
        <f t="array" ref="C93">IF(C92=-1,-1, IF(C92&lt;income_max_row, C92+1, IF(C92=income_max_row, income_total_row, IF(C92=income_total_row, "/1", IF(C92="/1", expenses_header_row, IF(C92&lt;expenses_max_row, C92+1, IF(C92=expenses_max_row, expenses_total_row, IF(C92=expenses_total_row, "/2", IF(C92="/2", savings_header_row, IF(C92&lt;savings_max_row, C92+1, IF(C92=savings_max_row, savings_total_row, -1)))))))))))</f>
        <v>-1</v>
      </c>
      <c r="D93" s="5">
        <f t="shared" si="38"/>
        <v>-1</v>
      </c>
      <c r="E93" s="4" cm="1">
        <f t="array" ref="E93">1*OR(row_id=income_header_row, row_id=expenses_header_row, row_id=savings_header_row)</f>
        <v>0</v>
      </c>
      <c r="F93">
        <f t="shared" si="39"/>
        <v>0</v>
      </c>
      <c r="G93" cm="1">
        <f t="array" ref="G93">1*OR(row_id=income_total_row, row_id=expenses_total_row, row_id=savings_total_row)</f>
        <v>0</v>
      </c>
      <c r="H93" s="5">
        <f t="shared" si="40"/>
        <v>1</v>
      </c>
      <c r="I93" s="4" t="str" cm="1">
        <f t="array" ref="I93">IFERROR(INDEX('Budget Planning'!$C:$C, header_row_id), "")</f>
        <v/>
      </c>
      <c r="J93" t="str" cm="1">
        <f t="array" ref="J93">IFERROR(INDEX('Budget Planning'!$C:$C, row_id), "")</f>
        <v/>
      </c>
      <c r="K93" s="52" t="str" cm="1">
        <f t="array" ref="K9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3" s="53" t="str" cm="1">
        <f t="array" ref="L93">IF(OR(is_header, is_empty), "", INDEX('Budget Planning'!$E:$EM, row_id, MATCH(IF(selected_period="Total Year", selected_year, DATE(selected_year, selected_period, 1)), 'Budget Planning'!$E$9:$EM$9, 0)))</f>
        <v/>
      </c>
      <c r="M93" s="50" t="str" cm="1">
        <f t="array" ref="M93">IF(is_category, IF(header_row_id=income_header_row, MATCH(income_min_row, $C:$C, 0), IF(header_row_id=expenses_header_row, MATCH(expenses_min_row, $C:$C, 0), IF(header_row_id=savings_header_row, MATCH(savings_min_row, $C:$C, 0), ""))), "")</f>
        <v/>
      </c>
      <c r="N93" s="51" t="str" cm="1">
        <f t="array" ref="N93">IF(is_category, IF(header_row_id=income_header_row, MATCH(income_max_row, $C:$C, 0), IF(header_row_id=expenses_header_row, MATCH(expenses_max_row, $C:$C, 0), IF(header_row_id=savings_header_row, MATCH(savings_max_row, $C:$C, 0), ""))), "")</f>
        <v/>
      </c>
      <c r="O93" s="50" t="str">
        <f t="shared" si="41"/>
        <v/>
      </c>
      <c r="P93" s="49" t="str">
        <f t="shared" ca="1" si="42"/>
        <v/>
      </c>
      <c r="Q93" s="49" t="str">
        <f t="shared" si="43"/>
        <v/>
      </c>
      <c r="R93" s="51" t="str">
        <f t="shared" ca="1" si="44"/>
        <v/>
      </c>
      <c r="S93" s="50" t="str">
        <f t="shared" si="45"/>
        <v/>
      </c>
      <c r="T93" s="49" t="str">
        <f t="shared" si="46"/>
        <v/>
      </c>
      <c r="U93" s="49" t="str">
        <f t="shared" ca="1" si="47"/>
        <v/>
      </c>
      <c r="V93" s="49" t="str">
        <f t="shared" si="48"/>
        <v/>
      </c>
      <c r="W93" s="47" t="str">
        <f t="shared" ca="1" si="49"/>
        <v/>
      </c>
      <c r="X93" s="56">
        <f t="shared" si="50"/>
        <v>-1</v>
      </c>
      <c r="Y93" s="57" t="str">
        <f t="shared" si="51"/>
        <v/>
      </c>
      <c r="Z93" s="59" t="str">
        <f t="shared" si="52"/>
        <v/>
      </c>
      <c r="AA93" s="59" t="str">
        <f t="shared" si="53"/>
        <v/>
      </c>
      <c r="AB93" s="58" t="str">
        <f t="shared" si="54"/>
        <v/>
      </c>
      <c r="AC93" s="59" t="str">
        <f t="shared" si="55"/>
        <v/>
      </c>
      <c r="AD93" s="59" t="str">
        <f t="shared" si="56"/>
        <v/>
      </c>
    </row>
    <row r="94" spans="3:30" x14ac:dyDescent="0.25">
      <c r="C94" s="4" cm="1">
        <f t="array" ref="C94">IF(C93=-1,-1, IF(C93&lt;income_max_row, C93+1, IF(C93=income_max_row, income_total_row, IF(C93=income_total_row, "/1", IF(C93="/1", expenses_header_row, IF(C93&lt;expenses_max_row, C93+1, IF(C93=expenses_max_row, expenses_total_row, IF(C93=expenses_total_row, "/2", IF(C93="/2", savings_header_row, IF(C93&lt;savings_max_row, C93+1, IF(C93=savings_max_row, savings_total_row, -1)))))))))))</f>
        <v>-1</v>
      </c>
      <c r="D94" s="5">
        <f t="shared" si="38"/>
        <v>-1</v>
      </c>
      <c r="E94" s="4" cm="1">
        <f t="array" ref="E94">1*OR(row_id=income_header_row, row_id=expenses_header_row, row_id=savings_header_row)</f>
        <v>0</v>
      </c>
      <c r="F94">
        <f t="shared" si="39"/>
        <v>0</v>
      </c>
      <c r="G94" cm="1">
        <f t="array" ref="G94">1*OR(row_id=income_total_row, row_id=expenses_total_row, row_id=savings_total_row)</f>
        <v>0</v>
      </c>
      <c r="H94" s="5">
        <f t="shared" si="40"/>
        <v>1</v>
      </c>
      <c r="I94" s="4" t="str" cm="1">
        <f t="array" ref="I94">IFERROR(INDEX('Budget Planning'!$C:$C, header_row_id), "")</f>
        <v/>
      </c>
      <c r="J94" t="str" cm="1">
        <f t="array" ref="J94">IFERROR(INDEX('Budget Planning'!$C:$C, row_id), "")</f>
        <v/>
      </c>
      <c r="K94" s="52" t="str" cm="1">
        <f t="array" ref="K9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4" s="53" t="str" cm="1">
        <f t="array" ref="L94">IF(OR(is_header, is_empty), "", INDEX('Budget Planning'!$E:$EM, row_id, MATCH(IF(selected_period="Total Year", selected_year, DATE(selected_year, selected_period, 1)), 'Budget Planning'!$E$9:$EM$9, 0)))</f>
        <v/>
      </c>
      <c r="M94" s="50" t="str" cm="1">
        <f t="array" ref="M94">IF(is_category, IF(header_row_id=income_header_row, MATCH(income_min_row, $C:$C, 0), IF(header_row_id=expenses_header_row, MATCH(expenses_min_row, $C:$C, 0), IF(header_row_id=savings_header_row, MATCH(savings_min_row, $C:$C, 0), ""))), "")</f>
        <v/>
      </c>
      <c r="N94" s="51" t="str" cm="1">
        <f t="array" ref="N94">IF(is_category, IF(header_row_id=income_header_row, MATCH(income_max_row, $C:$C, 0), IF(header_row_id=expenses_header_row, MATCH(expenses_max_row, $C:$C, 0), IF(header_row_id=savings_header_row, MATCH(savings_max_row, $C:$C, 0), ""))), "")</f>
        <v/>
      </c>
      <c r="O94" s="50" t="str">
        <f t="shared" si="41"/>
        <v/>
      </c>
      <c r="P94" s="49" t="str">
        <f t="shared" ca="1" si="42"/>
        <v/>
      </c>
      <c r="Q94" s="49" t="str">
        <f t="shared" si="43"/>
        <v/>
      </c>
      <c r="R94" s="51" t="str">
        <f t="shared" ca="1" si="44"/>
        <v/>
      </c>
      <c r="S94" s="50" t="str">
        <f t="shared" si="45"/>
        <v/>
      </c>
      <c r="T94" s="49" t="str">
        <f t="shared" si="46"/>
        <v/>
      </c>
      <c r="U94" s="49" t="str">
        <f t="shared" ca="1" si="47"/>
        <v/>
      </c>
      <c r="V94" s="49" t="str">
        <f t="shared" si="48"/>
        <v/>
      </c>
      <c r="W94" s="47" t="str">
        <f t="shared" ca="1" si="49"/>
        <v/>
      </c>
      <c r="X94" s="56">
        <f t="shared" si="50"/>
        <v>-1</v>
      </c>
      <c r="Y94" s="57" t="str">
        <f t="shared" si="51"/>
        <v/>
      </c>
      <c r="Z94" s="59" t="str">
        <f t="shared" si="52"/>
        <v/>
      </c>
      <c r="AA94" s="59" t="str">
        <f t="shared" si="53"/>
        <v/>
      </c>
      <c r="AB94" s="58" t="str">
        <f t="shared" si="54"/>
        <v/>
      </c>
      <c r="AC94" s="59" t="str">
        <f t="shared" si="55"/>
        <v/>
      </c>
      <c r="AD94" s="59" t="str">
        <f t="shared" si="56"/>
        <v/>
      </c>
    </row>
    <row r="95" spans="3:30" x14ac:dyDescent="0.25">
      <c r="C95" s="4" cm="1">
        <f t="array" ref="C95">IF(C94=-1,-1, IF(C94&lt;income_max_row, C94+1, IF(C94=income_max_row, income_total_row, IF(C94=income_total_row, "/1", IF(C94="/1", expenses_header_row, IF(C94&lt;expenses_max_row, C94+1, IF(C94=expenses_max_row, expenses_total_row, IF(C94=expenses_total_row, "/2", IF(C94="/2", savings_header_row, IF(C94&lt;savings_max_row, C94+1, IF(C94=savings_max_row, savings_total_row, -1)))))))))))</f>
        <v>-1</v>
      </c>
      <c r="D95" s="5">
        <f t="shared" si="38"/>
        <v>-1</v>
      </c>
      <c r="E95" s="4" cm="1">
        <f t="array" ref="E95">1*OR(row_id=income_header_row, row_id=expenses_header_row, row_id=savings_header_row)</f>
        <v>0</v>
      </c>
      <c r="F95">
        <f t="shared" si="39"/>
        <v>0</v>
      </c>
      <c r="G95" cm="1">
        <f t="array" ref="G95">1*OR(row_id=income_total_row, row_id=expenses_total_row, row_id=savings_total_row)</f>
        <v>0</v>
      </c>
      <c r="H95" s="5">
        <f t="shared" si="40"/>
        <v>1</v>
      </c>
      <c r="I95" s="4" t="str" cm="1">
        <f t="array" ref="I95">IFERROR(INDEX('Budget Planning'!$C:$C, header_row_id), "")</f>
        <v/>
      </c>
      <c r="J95" t="str" cm="1">
        <f t="array" ref="J95">IFERROR(INDEX('Budget Planning'!$C:$C, row_id), "")</f>
        <v/>
      </c>
      <c r="K95" s="52" t="str" cm="1">
        <f t="array" ref="K9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5" s="53" t="str" cm="1">
        <f t="array" ref="L95">IF(OR(is_header, is_empty), "", INDEX('Budget Planning'!$E:$EM, row_id, MATCH(IF(selected_period="Total Year", selected_year, DATE(selected_year, selected_period, 1)), 'Budget Planning'!$E$9:$EM$9, 0)))</f>
        <v/>
      </c>
      <c r="M95" s="50" t="str" cm="1">
        <f t="array" ref="M95">IF(is_category, IF(header_row_id=income_header_row, MATCH(income_min_row, $C:$C, 0), IF(header_row_id=expenses_header_row, MATCH(expenses_min_row, $C:$C, 0), IF(header_row_id=savings_header_row, MATCH(savings_min_row, $C:$C, 0), ""))), "")</f>
        <v/>
      </c>
      <c r="N95" s="51" t="str" cm="1">
        <f t="array" ref="N95">IF(is_category, IF(header_row_id=income_header_row, MATCH(income_max_row, $C:$C, 0), IF(header_row_id=expenses_header_row, MATCH(expenses_max_row, $C:$C, 0), IF(header_row_id=savings_header_row, MATCH(savings_max_row, $C:$C, 0), ""))), "")</f>
        <v/>
      </c>
      <c r="O95" s="50" t="str">
        <f t="shared" si="41"/>
        <v/>
      </c>
      <c r="P95" s="49" t="str">
        <f t="shared" ca="1" si="42"/>
        <v/>
      </c>
      <c r="Q95" s="49" t="str">
        <f t="shared" si="43"/>
        <v/>
      </c>
      <c r="R95" s="51" t="str">
        <f t="shared" ca="1" si="44"/>
        <v/>
      </c>
      <c r="S95" s="50" t="str">
        <f t="shared" si="45"/>
        <v/>
      </c>
      <c r="T95" s="49" t="str">
        <f t="shared" si="46"/>
        <v/>
      </c>
      <c r="U95" s="49" t="str">
        <f t="shared" ca="1" si="47"/>
        <v/>
      </c>
      <c r="V95" s="49" t="str">
        <f t="shared" si="48"/>
        <v/>
      </c>
      <c r="W95" s="47" t="str">
        <f t="shared" ca="1" si="49"/>
        <v/>
      </c>
      <c r="X95" s="56">
        <f t="shared" si="50"/>
        <v>-1</v>
      </c>
      <c r="Y95" s="57" t="str">
        <f t="shared" si="51"/>
        <v/>
      </c>
      <c r="Z95" s="59" t="str">
        <f t="shared" si="52"/>
        <v/>
      </c>
      <c r="AA95" s="59" t="str">
        <f t="shared" si="53"/>
        <v/>
      </c>
      <c r="AB95" s="58" t="str">
        <f t="shared" si="54"/>
        <v/>
      </c>
      <c r="AC95" s="59" t="str">
        <f t="shared" si="55"/>
        <v/>
      </c>
      <c r="AD95" s="59" t="str">
        <f t="shared" si="56"/>
        <v/>
      </c>
    </row>
    <row r="96" spans="3:30" x14ac:dyDescent="0.25">
      <c r="C96" s="4" cm="1">
        <f t="array" ref="C96">IF(C95=-1,-1, IF(C95&lt;income_max_row, C95+1, IF(C95=income_max_row, income_total_row, IF(C95=income_total_row, "/1", IF(C95="/1", expenses_header_row, IF(C95&lt;expenses_max_row, C95+1, IF(C95=expenses_max_row, expenses_total_row, IF(C95=expenses_total_row, "/2", IF(C95="/2", savings_header_row, IF(C95&lt;savings_max_row, C95+1, IF(C95=savings_max_row, savings_total_row, -1)))))))))))</f>
        <v>-1</v>
      </c>
      <c r="D96" s="5">
        <f t="shared" si="38"/>
        <v>-1</v>
      </c>
      <c r="E96" s="4" cm="1">
        <f t="array" ref="E96">1*OR(row_id=income_header_row, row_id=expenses_header_row, row_id=savings_header_row)</f>
        <v>0</v>
      </c>
      <c r="F96">
        <f t="shared" si="39"/>
        <v>0</v>
      </c>
      <c r="G96" cm="1">
        <f t="array" ref="G96">1*OR(row_id=income_total_row, row_id=expenses_total_row, row_id=savings_total_row)</f>
        <v>0</v>
      </c>
      <c r="H96" s="5">
        <f t="shared" si="40"/>
        <v>1</v>
      </c>
      <c r="I96" s="4" t="str" cm="1">
        <f t="array" ref="I96">IFERROR(INDEX('Budget Planning'!$C:$C, header_row_id), "")</f>
        <v/>
      </c>
      <c r="J96" t="str" cm="1">
        <f t="array" ref="J96">IFERROR(INDEX('Budget Planning'!$C:$C, row_id), "")</f>
        <v/>
      </c>
      <c r="K96" s="52" t="str" cm="1">
        <f t="array" ref="K9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6" s="53" t="str" cm="1">
        <f t="array" ref="L96">IF(OR(is_header, is_empty), "", INDEX('Budget Planning'!$E:$EM, row_id, MATCH(IF(selected_period="Total Year", selected_year, DATE(selected_year, selected_period, 1)), 'Budget Planning'!$E$9:$EM$9, 0)))</f>
        <v/>
      </c>
      <c r="M96" s="50" t="str" cm="1">
        <f t="array" ref="M96">IF(is_category, IF(header_row_id=income_header_row, MATCH(income_min_row, $C:$C, 0), IF(header_row_id=expenses_header_row, MATCH(expenses_min_row, $C:$C, 0), IF(header_row_id=savings_header_row, MATCH(savings_min_row, $C:$C, 0), ""))), "")</f>
        <v/>
      </c>
      <c r="N96" s="51" t="str" cm="1">
        <f t="array" ref="N96">IF(is_category, IF(header_row_id=income_header_row, MATCH(income_max_row, $C:$C, 0), IF(header_row_id=expenses_header_row, MATCH(expenses_max_row, $C:$C, 0), IF(header_row_id=savings_header_row, MATCH(savings_max_row, $C:$C, 0), ""))), "")</f>
        <v/>
      </c>
      <c r="O96" s="50" t="str">
        <f t="shared" si="41"/>
        <v/>
      </c>
      <c r="P96" s="49" t="str">
        <f t="shared" ca="1" si="42"/>
        <v/>
      </c>
      <c r="Q96" s="49" t="str">
        <f t="shared" si="43"/>
        <v/>
      </c>
      <c r="R96" s="51" t="str">
        <f t="shared" ca="1" si="44"/>
        <v/>
      </c>
      <c r="S96" s="50" t="str">
        <f t="shared" si="45"/>
        <v/>
      </c>
      <c r="T96" s="49" t="str">
        <f t="shared" si="46"/>
        <v/>
      </c>
      <c r="U96" s="49" t="str">
        <f t="shared" ca="1" si="47"/>
        <v/>
      </c>
      <c r="V96" s="49" t="str">
        <f t="shared" si="48"/>
        <v/>
      </c>
      <c r="W96" s="47" t="str">
        <f t="shared" ca="1" si="49"/>
        <v/>
      </c>
      <c r="X96" s="56">
        <f t="shared" si="50"/>
        <v>-1</v>
      </c>
      <c r="Y96" s="57" t="str">
        <f t="shared" si="51"/>
        <v/>
      </c>
      <c r="Z96" s="59" t="str">
        <f t="shared" si="52"/>
        <v/>
      </c>
      <c r="AA96" s="59" t="str">
        <f t="shared" si="53"/>
        <v/>
      </c>
      <c r="AB96" s="58" t="str">
        <f t="shared" si="54"/>
        <v/>
      </c>
      <c r="AC96" s="59" t="str">
        <f t="shared" si="55"/>
        <v/>
      </c>
      <c r="AD96" s="59" t="str">
        <f t="shared" si="56"/>
        <v/>
      </c>
    </row>
    <row r="97" spans="3:30" x14ac:dyDescent="0.25">
      <c r="C97" s="4" cm="1">
        <f t="array" ref="C97">IF(C96=-1,-1, IF(C96&lt;income_max_row, C96+1, IF(C96=income_max_row, income_total_row, IF(C96=income_total_row, "/1", IF(C96="/1", expenses_header_row, IF(C96&lt;expenses_max_row, C96+1, IF(C96=expenses_max_row, expenses_total_row, IF(C96=expenses_total_row, "/2", IF(C96="/2", savings_header_row, IF(C96&lt;savings_max_row, C96+1, IF(C96=savings_max_row, savings_total_row, -1)))))))))))</f>
        <v>-1</v>
      </c>
      <c r="D97" s="5">
        <f t="shared" si="38"/>
        <v>-1</v>
      </c>
      <c r="E97" s="4" cm="1">
        <f t="array" ref="E97">1*OR(row_id=income_header_row, row_id=expenses_header_row, row_id=savings_header_row)</f>
        <v>0</v>
      </c>
      <c r="F97">
        <f t="shared" si="39"/>
        <v>0</v>
      </c>
      <c r="G97" cm="1">
        <f t="array" ref="G97">1*OR(row_id=income_total_row, row_id=expenses_total_row, row_id=savings_total_row)</f>
        <v>0</v>
      </c>
      <c r="H97" s="5">
        <f t="shared" si="40"/>
        <v>1</v>
      </c>
      <c r="I97" s="4" t="str" cm="1">
        <f t="array" ref="I97">IFERROR(INDEX('Budget Planning'!$C:$C, header_row_id), "")</f>
        <v/>
      </c>
      <c r="J97" t="str" cm="1">
        <f t="array" ref="J97">IFERROR(INDEX('Budget Planning'!$C:$C, row_id), "")</f>
        <v/>
      </c>
      <c r="K97" s="52" t="str" cm="1">
        <f t="array" ref="K9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7" s="53" t="str" cm="1">
        <f t="array" ref="L97">IF(OR(is_header, is_empty), "", INDEX('Budget Planning'!$E:$EM, row_id, MATCH(IF(selected_period="Total Year", selected_year, DATE(selected_year, selected_period, 1)), 'Budget Planning'!$E$9:$EM$9, 0)))</f>
        <v/>
      </c>
      <c r="M97" s="50" t="str" cm="1">
        <f t="array" ref="M97">IF(is_category, IF(header_row_id=income_header_row, MATCH(income_min_row, $C:$C, 0), IF(header_row_id=expenses_header_row, MATCH(expenses_min_row, $C:$C, 0), IF(header_row_id=savings_header_row, MATCH(savings_min_row, $C:$C, 0), ""))), "")</f>
        <v/>
      </c>
      <c r="N97" s="51" t="str" cm="1">
        <f t="array" ref="N97">IF(is_category, IF(header_row_id=income_header_row, MATCH(income_max_row, $C:$C, 0), IF(header_row_id=expenses_header_row, MATCH(expenses_max_row, $C:$C, 0), IF(header_row_id=savings_header_row, MATCH(savings_max_row, $C:$C, 0), ""))), "")</f>
        <v/>
      </c>
      <c r="O97" s="50" t="str">
        <f t="shared" si="41"/>
        <v/>
      </c>
      <c r="P97" s="49" t="str">
        <f t="shared" ca="1" si="42"/>
        <v/>
      </c>
      <c r="Q97" s="49" t="str">
        <f t="shared" si="43"/>
        <v/>
      </c>
      <c r="R97" s="51" t="str">
        <f t="shared" ca="1" si="44"/>
        <v/>
      </c>
      <c r="S97" s="50" t="str">
        <f t="shared" si="45"/>
        <v/>
      </c>
      <c r="T97" s="49" t="str">
        <f t="shared" si="46"/>
        <v/>
      </c>
      <c r="U97" s="49" t="str">
        <f t="shared" ca="1" si="47"/>
        <v/>
      </c>
      <c r="V97" s="49" t="str">
        <f t="shared" si="48"/>
        <v/>
      </c>
      <c r="W97" s="47" t="str">
        <f t="shared" ca="1" si="49"/>
        <v/>
      </c>
      <c r="X97" s="56">
        <f t="shared" si="50"/>
        <v>-1</v>
      </c>
      <c r="Y97" s="57" t="str">
        <f t="shared" si="51"/>
        <v/>
      </c>
      <c r="Z97" s="59" t="str">
        <f t="shared" si="52"/>
        <v/>
      </c>
      <c r="AA97" s="59" t="str">
        <f t="shared" si="53"/>
        <v/>
      </c>
      <c r="AB97" s="58" t="str">
        <f t="shared" si="54"/>
        <v/>
      </c>
      <c r="AC97" s="59" t="str">
        <f t="shared" si="55"/>
        <v/>
      </c>
      <c r="AD97" s="59" t="str">
        <f t="shared" si="56"/>
        <v/>
      </c>
    </row>
    <row r="98" spans="3:30" x14ac:dyDescent="0.25">
      <c r="C98" s="4" cm="1">
        <f t="array" ref="C98">IF(C97=-1,-1, IF(C97&lt;income_max_row, C97+1, IF(C97=income_max_row, income_total_row, IF(C97=income_total_row, "/1", IF(C97="/1", expenses_header_row, IF(C97&lt;expenses_max_row, C97+1, IF(C97=expenses_max_row, expenses_total_row, IF(C97=expenses_total_row, "/2", IF(C97="/2", savings_header_row, IF(C97&lt;savings_max_row, C97+1, IF(C97=savings_max_row, savings_total_row, -1)))))))))))</f>
        <v>-1</v>
      </c>
      <c r="D98" s="5">
        <f t="shared" si="38"/>
        <v>-1</v>
      </c>
      <c r="E98" s="4" cm="1">
        <f t="array" ref="E98">1*OR(row_id=income_header_row, row_id=expenses_header_row, row_id=savings_header_row)</f>
        <v>0</v>
      </c>
      <c r="F98">
        <f t="shared" si="39"/>
        <v>0</v>
      </c>
      <c r="G98" cm="1">
        <f t="array" ref="G98">1*OR(row_id=income_total_row, row_id=expenses_total_row, row_id=savings_total_row)</f>
        <v>0</v>
      </c>
      <c r="H98" s="5">
        <f t="shared" si="40"/>
        <v>1</v>
      </c>
      <c r="I98" s="4" t="str" cm="1">
        <f t="array" ref="I98">IFERROR(INDEX('Budget Planning'!$C:$C, header_row_id), "")</f>
        <v/>
      </c>
      <c r="J98" t="str" cm="1">
        <f t="array" ref="J98">IFERROR(INDEX('Budget Planning'!$C:$C, row_id), "")</f>
        <v/>
      </c>
      <c r="K98" s="52" t="str" cm="1">
        <f t="array" ref="K9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8" s="53" t="str" cm="1">
        <f t="array" ref="L98">IF(OR(is_header, is_empty), "", INDEX('Budget Planning'!$E:$EM, row_id, MATCH(IF(selected_period="Total Year", selected_year, DATE(selected_year, selected_period, 1)), 'Budget Planning'!$E$9:$EM$9, 0)))</f>
        <v/>
      </c>
      <c r="M98" s="50" t="str" cm="1">
        <f t="array" ref="M98">IF(is_category, IF(header_row_id=income_header_row, MATCH(income_min_row, $C:$C, 0), IF(header_row_id=expenses_header_row, MATCH(expenses_min_row, $C:$C, 0), IF(header_row_id=savings_header_row, MATCH(savings_min_row, $C:$C, 0), ""))), "")</f>
        <v/>
      </c>
      <c r="N98" s="51" t="str" cm="1">
        <f t="array" ref="N98">IF(is_category, IF(header_row_id=income_header_row, MATCH(income_max_row, $C:$C, 0), IF(header_row_id=expenses_header_row, MATCH(expenses_max_row, $C:$C, 0), IF(header_row_id=savings_header_row, MATCH(savings_max_row, $C:$C, 0), ""))), "")</f>
        <v/>
      </c>
      <c r="O98" s="50" t="str">
        <f t="shared" si="41"/>
        <v/>
      </c>
      <c r="P98" s="49" t="str">
        <f t="shared" ca="1" si="42"/>
        <v/>
      </c>
      <c r="Q98" s="49" t="str">
        <f t="shared" si="43"/>
        <v/>
      </c>
      <c r="R98" s="51" t="str">
        <f t="shared" ca="1" si="44"/>
        <v/>
      </c>
      <c r="S98" s="50" t="str">
        <f t="shared" si="45"/>
        <v/>
      </c>
      <c r="T98" s="49" t="str">
        <f t="shared" si="46"/>
        <v/>
      </c>
      <c r="U98" s="49" t="str">
        <f t="shared" ca="1" si="47"/>
        <v/>
      </c>
      <c r="V98" s="49" t="str">
        <f t="shared" si="48"/>
        <v/>
      </c>
      <c r="W98" s="47" t="str">
        <f t="shared" ca="1" si="49"/>
        <v/>
      </c>
      <c r="X98" s="56">
        <f t="shared" si="50"/>
        <v>-1</v>
      </c>
      <c r="Y98" s="57" t="str">
        <f t="shared" si="51"/>
        <v/>
      </c>
      <c r="Z98" s="59" t="str">
        <f t="shared" si="52"/>
        <v/>
      </c>
      <c r="AA98" s="59" t="str">
        <f t="shared" si="53"/>
        <v/>
      </c>
      <c r="AB98" s="58" t="str">
        <f t="shared" si="54"/>
        <v/>
      </c>
      <c r="AC98" s="59" t="str">
        <f t="shared" si="55"/>
        <v/>
      </c>
      <c r="AD98" s="59" t="str">
        <f t="shared" si="56"/>
        <v/>
      </c>
    </row>
    <row r="99" spans="3:30" x14ac:dyDescent="0.25">
      <c r="C99" s="4" cm="1">
        <f t="array" ref="C99">IF(C98=-1,-1, IF(C98&lt;income_max_row, C98+1, IF(C98=income_max_row, income_total_row, IF(C98=income_total_row, "/1", IF(C98="/1", expenses_header_row, IF(C98&lt;expenses_max_row, C98+1, IF(C98=expenses_max_row, expenses_total_row, IF(C98=expenses_total_row, "/2", IF(C98="/2", savings_header_row, IF(C98&lt;savings_max_row, C98+1, IF(C98=savings_max_row, savings_total_row, -1)))))))))))</f>
        <v>-1</v>
      </c>
      <c r="D99" s="5">
        <f t="shared" si="38"/>
        <v>-1</v>
      </c>
      <c r="E99" s="4" cm="1">
        <f t="array" ref="E99">1*OR(row_id=income_header_row, row_id=expenses_header_row, row_id=savings_header_row)</f>
        <v>0</v>
      </c>
      <c r="F99">
        <f t="shared" si="39"/>
        <v>0</v>
      </c>
      <c r="G99" cm="1">
        <f t="array" ref="G99">1*OR(row_id=income_total_row, row_id=expenses_total_row, row_id=savings_total_row)</f>
        <v>0</v>
      </c>
      <c r="H99" s="5">
        <f t="shared" si="40"/>
        <v>1</v>
      </c>
      <c r="I99" s="4" t="str" cm="1">
        <f t="array" ref="I99">IFERROR(INDEX('Budget Planning'!$C:$C, header_row_id), "")</f>
        <v/>
      </c>
      <c r="J99" t="str" cm="1">
        <f t="array" ref="J99">IFERROR(INDEX('Budget Planning'!$C:$C, row_id), "")</f>
        <v/>
      </c>
      <c r="K99" s="52" t="str" cm="1">
        <f t="array" ref="K9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99" s="53" t="str" cm="1">
        <f t="array" ref="L99">IF(OR(is_header, is_empty), "", INDEX('Budget Planning'!$E:$EM, row_id, MATCH(IF(selected_period="Total Year", selected_year, DATE(selected_year, selected_period, 1)), 'Budget Planning'!$E$9:$EM$9, 0)))</f>
        <v/>
      </c>
      <c r="M99" s="50" t="str" cm="1">
        <f t="array" ref="M99">IF(is_category, IF(header_row_id=income_header_row, MATCH(income_min_row, $C:$C, 0), IF(header_row_id=expenses_header_row, MATCH(expenses_min_row, $C:$C, 0), IF(header_row_id=savings_header_row, MATCH(savings_min_row, $C:$C, 0), ""))), "")</f>
        <v/>
      </c>
      <c r="N99" s="51" t="str" cm="1">
        <f t="array" ref="N99">IF(is_category, IF(header_row_id=income_header_row, MATCH(income_max_row, $C:$C, 0), IF(header_row_id=expenses_header_row, MATCH(expenses_max_row, $C:$C, 0), IF(header_row_id=savings_header_row, MATCH(savings_max_row, $C:$C, 0), ""))), "")</f>
        <v/>
      </c>
      <c r="O99" s="50" t="str">
        <f t="shared" si="41"/>
        <v/>
      </c>
      <c r="P99" s="49" t="str">
        <f t="shared" ca="1" si="42"/>
        <v/>
      </c>
      <c r="Q99" s="49" t="str">
        <f t="shared" si="43"/>
        <v/>
      </c>
      <c r="R99" s="51" t="str">
        <f t="shared" ca="1" si="44"/>
        <v/>
      </c>
      <c r="S99" s="50" t="str">
        <f t="shared" si="45"/>
        <v/>
      </c>
      <c r="T99" s="49" t="str">
        <f t="shared" si="46"/>
        <v/>
      </c>
      <c r="U99" s="49" t="str">
        <f t="shared" ca="1" si="47"/>
        <v/>
      </c>
      <c r="V99" s="49" t="str">
        <f t="shared" si="48"/>
        <v/>
      </c>
      <c r="W99" s="47" t="str">
        <f t="shared" ca="1" si="49"/>
        <v/>
      </c>
      <c r="X99" s="56">
        <f t="shared" si="50"/>
        <v>-1</v>
      </c>
      <c r="Y99" s="57" t="str">
        <f t="shared" si="51"/>
        <v/>
      </c>
      <c r="Z99" s="59" t="str">
        <f t="shared" si="52"/>
        <v/>
      </c>
      <c r="AA99" s="59" t="str">
        <f t="shared" si="53"/>
        <v/>
      </c>
      <c r="AB99" s="58" t="str">
        <f t="shared" si="54"/>
        <v/>
      </c>
      <c r="AC99" s="59" t="str">
        <f t="shared" si="55"/>
        <v/>
      </c>
      <c r="AD99" s="59" t="str">
        <f t="shared" si="56"/>
        <v/>
      </c>
    </row>
    <row r="100" spans="3:30" x14ac:dyDescent="0.25">
      <c r="C100" s="4" cm="1">
        <f t="array" ref="C100">IF(C99=-1,-1, IF(C99&lt;income_max_row, C99+1, IF(C99=income_max_row, income_total_row, IF(C99=income_total_row, "/1", IF(C99="/1", expenses_header_row, IF(C99&lt;expenses_max_row, C99+1, IF(C99=expenses_max_row, expenses_total_row, IF(C99=expenses_total_row, "/2", IF(C99="/2", savings_header_row, IF(C99&lt;savings_max_row, C99+1, IF(C99=savings_max_row, savings_total_row, -1)))))))))))</f>
        <v>-1</v>
      </c>
      <c r="D100" s="5">
        <f t="shared" si="38"/>
        <v>-1</v>
      </c>
      <c r="E100" s="4" cm="1">
        <f t="array" ref="E100">1*OR(row_id=income_header_row, row_id=expenses_header_row, row_id=savings_header_row)</f>
        <v>0</v>
      </c>
      <c r="F100">
        <f t="shared" si="39"/>
        <v>0</v>
      </c>
      <c r="G100" cm="1">
        <f t="array" ref="G100">1*OR(row_id=income_total_row, row_id=expenses_total_row, row_id=savings_total_row)</f>
        <v>0</v>
      </c>
      <c r="H100" s="5">
        <f t="shared" si="40"/>
        <v>1</v>
      </c>
      <c r="I100" s="4" t="str" cm="1">
        <f t="array" ref="I100">IFERROR(INDEX('Budget Planning'!$C:$C, header_row_id), "")</f>
        <v/>
      </c>
      <c r="J100" t="str" cm="1">
        <f t="array" ref="J100">IFERROR(INDEX('Budget Planning'!$C:$C, row_id), "")</f>
        <v/>
      </c>
      <c r="K100" s="52" t="str" cm="1">
        <f t="array" ref="K10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0" s="53" t="str" cm="1">
        <f t="array" ref="L100">IF(OR(is_header, is_empty), "", INDEX('Budget Planning'!$E:$EM, row_id, MATCH(IF(selected_period="Total Year", selected_year, DATE(selected_year, selected_period, 1)), 'Budget Planning'!$E$9:$EM$9, 0)))</f>
        <v/>
      </c>
      <c r="M100" s="50" t="str" cm="1">
        <f t="array" ref="M100">IF(is_category, IF(header_row_id=income_header_row, MATCH(income_min_row, $C:$C, 0), IF(header_row_id=expenses_header_row, MATCH(expenses_min_row, $C:$C, 0), IF(header_row_id=savings_header_row, MATCH(savings_min_row, $C:$C, 0), ""))), "")</f>
        <v/>
      </c>
      <c r="N100" s="51" t="str" cm="1">
        <f t="array" ref="N100">IF(is_category, IF(header_row_id=income_header_row, MATCH(income_max_row, $C:$C, 0), IF(header_row_id=expenses_header_row, MATCH(expenses_max_row, $C:$C, 0), IF(header_row_id=savings_header_row, MATCH(savings_max_row, $C:$C, 0), ""))), "")</f>
        <v/>
      </c>
      <c r="O100" s="50" t="str">
        <f t="shared" si="41"/>
        <v/>
      </c>
      <c r="P100" s="49" t="str">
        <f t="shared" ca="1" si="42"/>
        <v/>
      </c>
      <c r="Q100" s="49" t="str">
        <f t="shared" si="43"/>
        <v/>
      </c>
      <c r="R100" s="51" t="str">
        <f t="shared" ca="1" si="44"/>
        <v/>
      </c>
      <c r="S100" s="50" t="str">
        <f t="shared" si="45"/>
        <v/>
      </c>
      <c r="T100" s="49" t="str">
        <f t="shared" si="46"/>
        <v/>
      </c>
      <c r="U100" s="49" t="str">
        <f t="shared" ca="1" si="47"/>
        <v/>
      </c>
      <c r="V100" s="49" t="str">
        <f t="shared" si="48"/>
        <v/>
      </c>
      <c r="W100" s="47" t="str">
        <f t="shared" ca="1" si="49"/>
        <v/>
      </c>
      <c r="X100" s="56">
        <f t="shared" si="50"/>
        <v>-1</v>
      </c>
      <c r="Y100" s="57" t="str">
        <f t="shared" si="51"/>
        <v/>
      </c>
      <c r="Z100" s="59" t="str">
        <f t="shared" si="52"/>
        <v/>
      </c>
      <c r="AA100" s="59" t="str">
        <f t="shared" si="53"/>
        <v/>
      </c>
      <c r="AB100" s="58" t="str">
        <f t="shared" si="54"/>
        <v/>
      </c>
      <c r="AC100" s="59" t="str">
        <f t="shared" si="55"/>
        <v/>
      </c>
      <c r="AD100" s="59" t="str">
        <f t="shared" si="56"/>
        <v/>
      </c>
    </row>
    <row r="101" spans="3:30" x14ac:dyDescent="0.25">
      <c r="C101" s="4" cm="1">
        <f t="array" ref="C101">IF(C100=-1,-1, IF(C100&lt;income_max_row, C100+1, IF(C100=income_max_row, income_total_row, IF(C100=income_total_row, "/1", IF(C100="/1", expenses_header_row, IF(C100&lt;expenses_max_row, C100+1, IF(C100=expenses_max_row, expenses_total_row, IF(C100=expenses_total_row, "/2", IF(C100="/2", savings_header_row, IF(C100&lt;savings_max_row, C100+1, IF(C100=savings_max_row, savings_total_row, -1)))))))))))</f>
        <v>-1</v>
      </c>
      <c r="D101" s="5">
        <f t="shared" si="38"/>
        <v>-1</v>
      </c>
      <c r="E101" s="4" cm="1">
        <f t="array" ref="E101">1*OR(row_id=income_header_row, row_id=expenses_header_row, row_id=savings_header_row)</f>
        <v>0</v>
      </c>
      <c r="F101">
        <f t="shared" si="39"/>
        <v>0</v>
      </c>
      <c r="G101" cm="1">
        <f t="array" ref="G101">1*OR(row_id=income_total_row, row_id=expenses_total_row, row_id=savings_total_row)</f>
        <v>0</v>
      </c>
      <c r="H101" s="5">
        <f t="shared" si="40"/>
        <v>1</v>
      </c>
      <c r="I101" s="4" t="str" cm="1">
        <f t="array" ref="I101">IFERROR(INDEX('Budget Planning'!$C:$C, header_row_id), "")</f>
        <v/>
      </c>
      <c r="J101" t="str" cm="1">
        <f t="array" ref="J101">IFERROR(INDEX('Budget Planning'!$C:$C, row_id), "")</f>
        <v/>
      </c>
      <c r="K101" s="52" t="str" cm="1">
        <f t="array" ref="K10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1" s="53" t="str" cm="1">
        <f t="array" ref="L101">IF(OR(is_header, is_empty), "", INDEX('Budget Planning'!$E:$EM, row_id, MATCH(IF(selected_period="Total Year", selected_year, DATE(selected_year, selected_period, 1)), 'Budget Planning'!$E$9:$EM$9, 0)))</f>
        <v/>
      </c>
      <c r="M101" s="50" t="str" cm="1">
        <f t="array" ref="M101">IF(is_category, IF(header_row_id=income_header_row, MATCH(income_min_row, $C:$C, 0), IF(header_row_id=expenses_header_row, MATCH(expenses_min_row, $C:$C, 0), IF(header_row_id=savings_header_row, MATCH(savings_min_row, $C:$C, 0), ""))), "")</f>
        <v/>
      </c>
      <c r="N101" s="51" t="str" cm="1">
        <f t="array" ref="N101">IF(is_category, IF(header_row_id=income_header_row, MATCH(income_max_row, $C:$C, 0), IF(header_row_id=expenses_header_row, MATCH(expenses_max_row, $C:$C, 0), IF(header_row_id=savings_header_row, MATCH(savings_max_row, $C:$C, 0), ""))), "")</f>
        <v/>
      </c>
      <c r="O101" s="50" t="str">
        <f t="shared" si="41"/>
        <v/>
      </c>
      <c r="P101" s="49" t="str">
        <f t="shared" ca="1" si="42"/>
        <v/>
      </c>
      <c r="Q101" s="49" t="str">
        <f t="shared" si="43"/>
        <v/>
      </c>
      <c r="R101" s="51" t="str">
        <f t="shared" ca="1" si="44"/>
        <v/>
      </c>
      <c r="S101" s="50" t="str">
        <f t="shared" si="45"/>
        <v/>
      </c>
      <c r="T101" s="49" t="str">
        <f t="shared" si="46"/>
        <v/>
      </c>
      <c r="U101" s="49" t="str">
        <f t="shared" ca="1" si="47"/>
        <v/>
      </c>
      <c r="V101" s="49" t="str">
        <f t="shared" si="48"/>
        <v/>
      </c>
      <c r="W101" s="47" t="str">
        <f t="shared" ca="1" si="49"/>
        <v/>
      </c>
      <c r="X101" s="56">
        <f t="shared" si="50"/>
        <v>-1</v>
      </c>
      <c r="Y101" s="57" t="str">
        <f t="shared" si="51"/>
        <v/>
      </c>
      <c r="Z101" s="59" t="str">
        <f t="shared" si="52"/>
        <v/>
      </c>
      <c r="AA101" s="59" t="str">
        <f t="shared" si="53"/>
        <v/>
      </c>
      <c r="AB101" s="58" t="str">
        <f t="shared" si="54"/>
        <v/>
      </c>
      <c r="AC101" s="59" t="str">
        <f t="shared" si="55"/>
        <v/>
      </c>
      <c r="AD101" s="59" t="str">
        <f t="shared" si="56"/>
        <v/>
      </c>
    </row>
    <row r="102" spans="3:30" x14ac:dyDescent="0.25">
      <c r="C102" s="4" cm="1">
        <f t="array" ref="C102">IF(C101=-1,-1, IF(C101&lt;income_max_row, C101+1, IF(C101=income_max_row, income_total_row, IF(C101=income_total_row, "/1", IF(C101="/1", expenses_header_row, IF(C101&lt;expenses_max_row, C101+1, IF(C101=expenses_max_row, expenses_total_row, IF(C101=expenses_total_row, "/2", IF(C101="/2", savings_header_row, IF(C101&lt;savings_max_row, C101+1, IF(C101=savings_max_row, savings_total_row, -1)))))))))))</f>
        <v>-1</v>
      </c>
      <c r="D102" s="5">
        <f t="shared" si="38"/>
        <v>-1</v>
      </c>
      <c r="E102" s="4" cm="1">
        <f t="array" ref="E102">1*OR(row_id=income_header_row, row_id=expenses_header_row, row_id=savings_header_row)</f>
        <v>0</v>
      </c>
      <c r="F102">
        <f t="shared" si="39"/>
        <v>0</v>
      </c>
      <c r="G102" cm="1">
        <f t="array" ref="G102">1*OR(row_id=income_total_row, row_id=expenses_total_row, row_id=savings_total_row)</f>
        <v>0</v>
      </c>
      <c r="H102" s="5">
        <f t="shared" si="40"/>
        <v>1</v>
      </c>
      <c r="I102" s="4" t="str" cm="1">
        <f t="array" ref="I102">IFERROR(INDEX('Budget Planning'!$C:$C, header_row_id), "")</f>
        <v/>
      </c>
      <c r="J102" t="str" cm="1">
        <f t="array" ref="J102">IFERROR(INDEX('Budget Planning'!$C:$C, row_id), "")</f>
        <v/>
      </c>
      <c r="K102" s="52" t="str" cm="1">
        <f t="array" ref="K10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2" s="53" t="str" cm="1">
        <f t="array" ref="L102">IF(OR(is_header, is_empty), "", INDEX('Budget Planning'!$E:$EM, row_id, MATCH(IF(selected_period="Total Year", selected_year, DATE(selected_year, selected_period, 1)), 'Budget Planning'!$E$9:$EM$9, 0)))</f>
        <v/>
      </c>
      <c r="M102" s="50" t="str" cm="1">
        <f t="array" ref="M102">IF(is_category, IF(header_row_id=income_header_row, MATCH(income_min_row, $C:$C, 0), IF(header_row_id=expenses_header_row, MATCH(expenses_min_row, $C:$C, 0), IF(header_row_id=savings_header_row, MATCH(savings_min_row, $C:$C, 0), ""))), "")</f>
        <v/>
      </c>
      <c r="N102" s="51" t="str" cm="1">
        <f t="array" ref="N102">IF(is_category, IF(header_row_id=income_header_row, MATCH(income_max_row, $C:$C, 0), IF(header_row_id=expenses_header_row, MATCH(expenses_max_row, $C:$C, 0), IF(header_row_id=savings_header_row, MATCH(savings_max_row, $C:$C, 0), ""))), "")</f>
        <v/>
      </c>
      <c r="O102" s="50" t="str">
        <f t="shared" si="41"/>
        <v/>
      </c>
      <c r="P102" s="49" t="str">
        <f t="shared" ca="1" si="42"/>
        <v/>
      </c>
      <c r="Q102" s="49" t="str">
        <f t="shared" si="43"/>
        <v/>
      </c>
      <c r="R102" s="51" t="str">
        <f t="shared" ca="1" si="44"/>
        <v/>
      </c>
      <c r="S102" s="50" t="str">
        <f t="shared" si="45"/>
        <v/>
      </c>
      <c r="T102" s="49" t="str">
        <f t="shared" si="46"/>
        <v/>
      </c>
      <c r="U102" s="49" t="str">
        <f t="shared" ca="1" si="47"/>
        <v/>
      </c>
      <c r="V102" s="49" t="str">
        <f t="shared" si="48"/>
        <v/>
      </c>
      <c r="W102" s="47" t="str">
        <f t="shared" ca="1" si="49"/>
        <v/>
      </c>
      <c r="X102" s="56">
        <f t="shared" si="50"/>
        <v>-1</v>
      </c>
      <c r="Y102" s="57" t="str">
        <f t="shared" si="51"/>
        <v/>
      </c>
      <c r="Z102" s="59" t="str">
        <f t="shared" si="52"/>
        <v/>
      </c>
      <c r="AA102" s="59" t="str">
        <f t="shared" si="53"/>
        <v/>
      </c>
      <c r="AB102" s="58" t="str">
        <f t="shared" si="54"/>
        <v/>
      </c>
      <c r="AC102" s="59" t="str">
        <f t="shared" si="55"/>
        <v/>
      </c>
      <c r="AD102" s="59" t="str">
        <f t="shared" si="56"/>
        <v/>
      </c>
    </row>
    <row r="103" spans="3:30" x14ac:dyDescent="0.25">
      <c r="C103" s="4" cm="1">
        <f t="array" ref="C103">IF(C102=-1,-1, IF(C102&lt;income_max_row, C102+1, IF(C102=income_max_row, income_total_row, IF(C102=income_total_row, "/1", IF(C102="/1", expenses_header_row, IF(C102&lt;expenses_max_row, C102+1, IF(C102=expenses_max_row, expenses_total_row, IF(C102=expenses_total_row, "/2", IF(C102="/2", savings_header_row, IF(C102&lt;savings_max_row, C102+1, IF(C102=savings_max_row, savings_total_row, -1)))))))))))</f>
        <v>-1</v>
      </c>
      <c r="D103" s="5">
        <f t="shared" si="38"/>
        <v>-1</v>
      </c>
      <c r="E103" s="4" cm="1">
        <f t="array" ref="E103">1*OR(row_id=income_header_row, row_id=expenses_header_row, row_id=savings_header_row)</f>
        <v>0</v>
      </c>
      <c r="F103">
        <f t="shared" si="39"/>
        <v>0</v>
      </c>
      <c r="G103" cm="1">
        <f t="array" ref="G103">1*OR(row_id=income_total_row, row_id=expenses_total_row, row_id=savings_total_row)</f>
        <v>0</v>
      </c>
      <c r="H103" s="5">
        <f t="shared" si="40"/>
        <v>1</v>
      </c>
      <c r="I103" s="4" t="str" cm="1">
        <f t="array" ref="I103">IFERROR(INDEX('Budget Planning'!$C:$C, header_row_id), "")</f>
        <v/>
      </c>
      <c r="J103" t="str" cm="1">
        <f t="array" ref="J103">IFERROR(INDEX('Budget Planning'!$C:$C, row_id), "")</f>
        <v/>
      </c>
      <c r="K103" s="52" t="str" cm="1">
        <f t="array" ref="K10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3" s="53" t="str" cm="1">
        <f t="array" ref="L103">IF(OR(is_header, is_empty), "", INDEX('Budget Planning'!$E:$EM, row_id, MATCH(IF(selected_period="Total Year", selected_year, DATE(selected_year, selected_period, 1)), 'Budget Planning'!$E$9:$EM$9, 0)))</f>
        <v/>
      </c>
      <c r="M103" s="50" t="str" cm="1">
        <f t="array" ref="M103">IF(is_category, IF(header_row_id=income_header_row, MATCH(income_min_row, $C:$C, 0), IF(header_row_id=expenses_header_row, MATCH(expenses_min_row, $C:$C, 0), IF(header_row_id=savings_header_row, MATCH(savings_min_row, $C:$C, 0), ""))), "")</f>
        <v/>
      </c>
      <c r="N103" s="51" t="str" cm="1">
        <f t="array" ref="N103">IF(is_category, IF(header_row_id=income_header_row, MATCH(income_max_row, $C:$C, 0), IF(header_row_id=expenses_header_row, MATCH(expenses_max_row, $C:$C, 0), IF(header_row_id=savings_header_row, MATCH(savings_max_row, $C:$C, 0), ""))), "")</f>
        <v/>
      </c>
      <c r="O103" s="50" t="str">
        <f t="shared" si="41"/>
        <v/>
      </c>
      <c r="P103" s="49" t="str">
        <f t="shared" ca="1" si="42"/>
        <v/>
      </c>
      <c r="Q103" s="49" t="str">
        <f t="shared" si="43"/>
        <v/>
      </c>
      <c r="R103" s="51" t="str">
        <f t="shared" ca="1" si="44"/>
        <v/>
      </c>
      <c r="S103" s="50" t="str">
        <f t="shared" si="45"/>
        <v/>
      </c>
      <c r="T103" s="49" t="str">
        <f t="shared" si="46"/>
        <v/>
      </c>
      <c r="U103" s="49" t="str">
        <f t="shared" ca="1" si="47"/>
        <v/>
      </c>
      <c r="V103" s="49" t="str">
        <f t="shared" si="48"/>
        <v/>
      </c>
      <c r="W103" s="47" t="str">
        <f t="shared" ca="1" si="49"/>
        <v/>
      </c>
      <c r="X103" s="56">
        <f t="shared" si="50"/>
        <v>-1</v>
      </c>
      <c r="Y103" s="57" t="str">
        <f t="shared" si="51"/>
        <v/>
      </c>
      <c r="Z103" s="59" t="str">
        <f t="shared" si="52"/>
        <v/>
      </c>
      <c r="AA103" s="59" t="str">
        <f t="shared" si="53"/>
        <v/>
      </c>
      <c r="AB103" s="58" t="str">
        <f t="shared" si="54"/>
        <v/>
      </c>
      <c r="AC103" s="59" t="str">
        <f t="shared" si="55"/>
        <v/>
      </c>
      <c r="AD103" s="59" t="str">
        <f t="shared" si="56"/>
        <v/>
      </c>
    </row>
    <row r="104" spans="3:30" x14ac:dyDescent="0.25">
      <c r="C104" s="4" cm="1">
        <f t="array" ref="C104">IF(C103=-1,-1, IF(C103&lt;income_max_row, C103+1, IF(C103=income_max_row, income_total_row, IF(C103=income_total_row, "/1", IF(C103="/1", expenses_header_row, IF(C103&lt;expenses_max_row, C103+1, IF(C103=expenses_max_row, expenses_total_row, IF(C103=expenses_total_row, "/2", IF(C103="/2", savings_header_row, IF(C103&lt;savings_max_row, C103+1, IF(C103=savings_max_row, savings_total_row, -1)))))))))))</f>
        <v>-1</v>
      </c>
      <c r="D104" s="5">
        <f t="shared" si="38"/>
        <v>-1</v>
      </c>
      <c r="E104" s="4" cm="1">
        <f t="array" ref="E104">1*OR(row_id=income_header_row, row_id=expenses_header_row, row_id=savings_header_row)</f>
        <v>0</v>
      </c>
      <c r="F104">
        <f t="shared" si="39"/>
        <v>0</v>
      </c>
      <c r="G104" cm="1">
        <f t="array" ref="G104">1*OR(row_id=income_total_row, row_id=expenses_total_row, row_id=savings_total_row)</f>
        <v>0</v>
      </c>
      <c r="H104" s="5">
        <f t="shared" si="40"/>
        <v>1</v>
      </c>
      <c r="I104" s="4" t="str" cm="1">
        <f t="array" ref="I104">IFERROR(INDEX('Budget Planning'!$C:$C, header_row_id), "")</f>
        <v/>
      </c>
      <c r="J104" t="str" cm="1">
        <f t="array" ref="J104">IFERROR(INDEX('Budget Planning'!$C:$C, row_id), "")</f>
        <v/>
      </c>
      <c r="K104" s="52" t="str" cm="1">
        <f t="array" ref="K10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4" s="53" t="str" cm="1">
        <f t="array" ref="L104">IF(OR(is_header, is_empty), "", INDEX('Budget Planning'!$E:$EM, row_id, MATCH(IF(selected_period="Total Year", selected_year, DATE(selected_year, selected_period, 1)), 'Budget Planning'!$E$9:$EM$9, 0)))</f>
        <v/>
      </c>
      <c r="M104" s="50" t="str" cm="1">
        <f t="array" ref="M104">IF(is_category, IF(header_row_id=income_header_row, MATCH(income_min_row, $C:$C, 0), IF(header_row_id=expenses_header_row, MATCH(expenses_min_row, $C:$C, 0), IF(header_row_id=savings_header_row, MATCH(savings_min_row, $C:$C, 0), ""))), "")</f>
        <v/>
      </c>
      <c r="N104" s="51" t="str" cm="1">
        <f t="array" ref="N104">IF(is_category, IF(header_row_id=income_header_row, MATCH(income_max_row, $C:$C, 0), IF(header_row_id=expenses_header_row, MATCH(expenses_max_row, $C:$C, 0), IF(header_row_id=savings_header_row, MATCH(savings_max_row, $C:$C, 0), ""))), "")</f>
        <v/>
      </c>
      <c r="O104" s="50" t="str">
        <f t="shared" si="41"/>
        <v/>
      </c>
      <c r="P104" s="49" t="str">
        <f t="shared" ca="1" si="42"/>
        <v/>
      </c>
      <c r="Q104" s="49" t="str">
        <f t="shared" si="43"/>
        <v/>
      </c>
      <c r="R104" s="51" t="str">
        <f t="shared" ca="1" si="44"/>
        <v/>
      </c>
      <c r="S104" s="50" t="str">
        <f t="shared" si="45"/>
        <v/>
      </c>
      <c r="T104" s="49" t="str">
        <f t="shared" si="46"/>
        <v/>
      </c>
      <c r="U104" s="49" t="str">
        <f t="shared" ca="1" si="47"/>
        <v/>
      </c>
      <c r="V104" s="49" t="str">
        <f t="shared" si="48"/>
        <v/>
      </c>
      <c r="W104" s="47" t="str">
        <f t="shared" ca="1" si="49"/>
        <v/>
      </c>
      <c r="X104" s="56">
        <f t="shared" si="50"/>
        <v>-1</v>
      </c>
      <c r="Y104" s="57" t="str">
        <f t="shared" si="51"/>
        <v/>
      </c>
      <c r="Z104" s="59" t="str">
        <f t="shared" si="52"/>
        <v/>
      </c>
      <c r="AA104" s="59" t="str">
        <f t="shared" si="53"/>
        <v/>
      </c>
      <c r="AB104" s="58" t="str">
        <f t="shared" si="54"/>
        <v/>
      </c>
      <c r="AC104" s="59" t="str">
        <f t="shared" si="55"/>
        <v/>
      </c>
      <c r="AD104" s="59" t="str">
        <f t="shared" si="56"/>
        <v/>
      </c>
    </row>
    <row r="105" spans="3:30" x14ac:dyDescent="0.25">
      <c r="C105" s="4" cm="1">
        <f t="array" ref="C105">IF(C104=-1,-1, IF(C104&lt;income_max_row, C104+1, IF(C104=income_max_row, income_total_row, IF(C104=income_total_row, "/1", IF(C104="/1", expenses_header_row, IF(C104&lt;expenses_max_row, C104+1, IF(C104=expenses_max_row, expenses_total_row, IF(C104=expenses_total_row, "/2", IF(C104="/2", savings_header_row, IF(C104&lt;savings_max_row, C104+1, IF(C104=savings_max_row, savings_total_row, -1)))))))))))</f>
        <v>-1</v>
      </c>
      <c r="D105" s="5">
        <f t="shared" si="38"/>
        <v>-1</v>
      </c>
      <c r="E105" s="4" cm="1">
        <f t="array" ref="E105">1*OR(row_id=income_header_row, row_id=expenses_header_row, row_id=savings_header_row)</f>
        <v>0</v>
      </c>
      <c r="F105">
        <f t="shared" si="39"/>
        <v>0</v>
      </c>
      <c r="G105" cm="1">
        <f t="array" ref="G105">1*OR(row_id=income_total_row, row_id=expenses_total_row, row_id=savings_total_row)</f>
        <v>0</v>
      </c>
      <c r="H105" s="5">
        <f t="shared" si="40"/>
        <v>1</v>
      </c>
      <c r="I105" s="4" t="str" cm="1">
        <f t="array" ref="I105">IFERROR(INDEX('Budget Planning'!$C:$C, header_row_id), "")</f>
        <v/>
      </c>
      <c r="J105" t="str" cm="1">
        <f t="array" ref="J105">IFERROR(INDEX('Budget Planning'!$C:$C, row_id), "")</f>
        <v/>
      </c>
      <c r="K105" s="52" t="str" cm="1">
        <f t="array" ref="K10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5" s="53" t="str" cm="1">
        <f t="array" ref="L105">IF(OR(is_header, is_empty), "", INDEX('Budget Planning'!$E:$EM, row_id, MATCH(IF(selected_period="Total Year", selected_year, DATE(selected_year, selected_period, 1)), 'Budget Planning'!$E$9:$EM$9, 0)))</f>
        <v/>
      </c>
      <c r="M105" s="50" t="str" cm="1">
        <f t="array" ref="M105">IF(is_category, IF(header_row_id=income_header_row, MATCH(income_min_row, $C:$C, 0), IF(header_row_id=expenses_header_row, MATCH(expenses_min_row, $C:$C, 0), IF(header_row_id=savings_header_row, MATCH(savings_min_row, $C:$C, 0), ""))), "")</f>
        <v/>
      </c>
      <c r="N105" s="51" t="str" cm="1">
        <f t="array" ref="N105">IF(is_category, IF(header_row_id=income_header_row, MATCH(income_max_row, $C:$C, 0), IF(header_row_id=expenses_header_row, MATCH(expenses_max_row, $C:$C, 0), IF(header_row_id=savings_header_row, MATCH(savings_max_row, $C:$C, 0), ""))), "")</f>
        <v/>
      </c>
      <c r="O105" s="50" t="str">
        <f t="shared" si="41"/>
        <v/>
      </c>
      <c r="P105" s="49" t="str">
        <f t="shared" ca="1" si="42"/>
        <v/>
      </c>
      <c r="Q105" s="49" t="str">
        <f t="shared" si="43"/>
        <v/>
      </c>
      <c r="R105" s="51" t="str">
        <f t="shared" ca="1" si="44"/>
        <v/>
      </c>
      <c r="S105" s="50" t="str">
        <f t="shared" si="45"/>
        <v/>
      </c>
      <c r="T105" s="49" t="str">
        <f t="shared" si="46"/>
        <v/>
      </c>
      <c r="U105" s="49" t="str">
        <f t="shared" ca="1" si="47"/>
        <v/>
      </c>
      <c r="V105" s="49" t="str">
        <f t="shared" si="48"/>
        <v/>
      </c>
      <c r="W105" s="47" t="str">
        <f t="shared" ca="1" si="49"/>
        <v/>
      </c>
      <c r="X105" s="56">
        <f t="shared" si="50"/>
        <v>-1</v>
      </c>
      <c r="Y105" s="57" t="str">
        <f t="shared" si="51"/>
        <v/>
      </c>
      <c r="Z105" s="59" t="str">
        <f t="shared" si="52"/>
        <v/>
      </c>
      <c r="AA105" s="59" t="str">
        <f t="shared" si="53"/>
        <v/>
      </c>
      <c r="AB105" s="58" t="str">
        <f t="shared" si="54"/>
        <v/>
      </c>
      <c r="AC105" s="59" t="str">
        <f t="shared" si="55"/>
        <v/>
      </c>
      <c r="AD105" s="59" t="str">
        <f t="shared" si="56"/>
        <v/>
      </c>
    </row>
    <row r="106" spans="3:30" x14ac:dyDescent="0.25">
      <c r="C106" s="4" cm="1">
        <f t="array" ref="C106">IF(C105=-1,-1, IF(C105&lt;income_max_row, C105+1, IF(C105=income_max_row, income_total_row, IF(C105=income_total_row, "/1", IF(C105="/1", expenses_header_row, IF(C105&lt;expenses_max_row, C105+1, IF(C105=expenses_max_row, expenses_total_row, IF(C105=expenses_total_row, "/2", IF(C105="/2", savings_header_row, IF(C105&lt;savings_max_row, C105+1, IF(C105=savings_max_row, savings_total_row, -1)))))))))))</f>
        <v>-1</v>
      </c>
      <c r="D106" s="5">
        <f t="shared" si="38"/>
        <v>-1</v>
      </c>
      <c r="E106" s="4" cm="1">
        <f t="array" ref="E106">1*OR(row_id=income_header_row, row_id=expenses_header_row, row_id=savings_header_row)</f>
        <v>0</v>
      </c>
      <c r="F106">
        <f t="shared" si="39"/>
        <v>0</v>
      </c>
      <c r="G106" cm="1">
        <f t="array" ref="G106">1*OR(row_id=income_total_row, row_id=expenses_total_row, row_id=savings_total_row)</f>
        <v>0</v>
      </c>
      <c r="H106" s="5">
        <f t="shared" si="40"/>
        <v>1</v>
      </c>
      <c r="I106" s="4" t="str" cm="1">
        <f t="array" ref="I106">IFERROR(INDEX('Budget Planning'!$C:$C, header_row_id), "")</f>
        <v/>
      </c>
      <c r="J106" t="str" cm="1">
        <f t="array" ref="J106">IFERROR(INDEX('Budget Planning'!$C:$C, row_id), "")</f>
        <v/>
      </c>
      <c r="K106" s="52" t="str" cm="1">
        <f t="array" ref="K10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6" s="53" t="str" cm="1">
        <f t="array" ref="L106">IF(OR(is_header, is_empty), "", INDEX('Budget Planning'!$E:$EM, row_id, MATCH(IF(selected_period="Total Year", selected_year, DATE(selected_year, selected_period, 1)), 'Budget Planning'!$E$9:$EM$9, 0)))</f>
        <v/>
      </c>
      <c r="M106" s="50" t="str" cm="1">
        <f t="array" ref="M106">IF(is_category, IF(header_row_id=income_header_row, MATCH(income_min_row, $C:$C, 0), IF(header_row_id=expenses_header_row, MATCH(expenses_min_row, $C:$C, 0), IF(header_row_id=savings_header_row, MATCH(savings_min_row, $C:$C, 0), ""))), "")</f>
        <v/>
      </c>
      <c r="N106" s="51" t="str" cm="1">
        <f t="array" ref="N106">IF(is_category, IF(header_row_id=income_header_row, MATCH(income_max_row, $C:$C, 0), IF(header_row_id=expenses_header_row, MATCH(expenses_max_row, $C:$C, 0), IF(header_row_id=savings_header_row, MATCH(savings_max_row, $C:$C, 0), ""))), "")</f>
        <v/>
      </c>
      <c r="O106" s="50" t="str">
        <f t="shared" si="41"/>
        <v/>
      </c>
      <c r="P106" s="49" t="str">
        <f t="shared" ca="1" si="42"/>
        <v/>
      </c>
      <c r="Q106" s="49" t="str">
        <f t="shared" si="43"/>
        <v/>
      </c>
      <c r="R106" s="51" t="str">
        <f t="shared" ca="1" si="44"/>
        <v/>
      </c>
      <c r="S106" s="50" t="str">
        <f t="shared" si="45"/>
        <v/>
      </c>
      <c r="T106" s="49" t="str">
        <f t="shared" si="46"/>
        <v/>
      </c>
      <c r="U106" s="49" t="str">
        <f t="shared" ca="1" si="47"/>
        <v/>
      </c>
      <c r="V106" s="49" t="str">
        <f t="shared" si="48"/>
        <v/>
      </c>
      <c r="W106" s="47" t="str">
        <f t="shared" ca="1" si="49"/>
        <v/>
      </c>
      <c r="X106" s="56">
        <f t="shared" si="50"/>
        <v>-1</v>
      </c>
      <c r="Y106" s="57" t="str">
        <f t="shared" si="51"/>
        <v/>
      </c>
      <c r="Z106" s="59" t="str">
        <f t="shared" si="52"/>
        <v/>
      </c>
      <c r="AA106" s="59" t="str">
        <f t="shared" si="53"/>
        <v/>
      </c>
      <c r="AB106" s="58" t="str">
        <f t="shared" si="54"/>
        <v/>
      </c>
      <c r="AC106" s="59" t="str">
        <f t="shared" si="55"/>
        <v/>
      </c>
      <c r="AD106" s="59" t="str">
        <f t="shared" si="56"/>
        <v/>
      </c>
    </row>
    <row r="107" spans="3:30" x14ac:dyDescent="0.25">
      <c r="C107" s="4" cm="1">
        <f t="array" ref="C107">IF(C106=-1,-1, IF(C106&lt;income_max_row, C106+1, IF(C106=income_max_row, income_total_row, IF(C106=income_total_row, "/1", IF(C106="/1", expenses_header_row, IF(C106&lt;expenses_max_row, C106+1, IF(C106=expenses_max_row, expenses_total_row, IF(C106=expenses_total_row, "/2", IF(C106="/2", savings_header_row, IF(C106&lt;savings_max_row, C106+1, IF(C106=savings_max_row, savings_total_row, -1)))))))))))</f>
        <v>-1</v>
      </c>
      <c r="D107" s="5">
        <f t="shared" si="38"/>
        <v>-1</v>
      </c>
      <c r="E107" s="4" cm="1">
        <f t="array" ref="E107">1*OR(row_id=income_header_row, row_id=expenses_header_row, row_id=savings_header_row)</f>
        <v>0</v>
      </c>
      <c r="F107">
        <f t="shared" si="39"/>
        <v>0</v>
      </c>
      <c r="G107" cm="1">
        <f t="array" ref="G107">1*OR(row_id=income_total_row, row_id=expenses_total_row, row_id=savings_total_row)</f>
        <v>0</v>
      </c>
      <c r="H107" s="5">
        <f t="shared" si="40"/>
        <v>1</v>
      </c>
      <c r="I107" s="4" t="str" cm="1">
        <f t="array" ref="I107">IFERROR(INDEX('Budget Planning'!$C:$C, header_row_id), "")</f>
        <v/>
      </c>
      <c r="J107" t="str" cm="1">
        <f t="array" ref="J107">IFERROR(INDEX('Budget Planning'!$C:$C, row_id), "")</f>
        <v/>
      </c>
      <c r="K107" s="52" t="str" cm="1">
        <f t="array" ref="K10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7" s="53" t="str" cm="1">
        <f t="array" ref="L107">IF(OR(is_header, is_empty), "", INDEX('Budget Planning'!$E:$EM, row_id, MATCH(IF(selected_period="Total Year", selected_year, DATE(selected_year, selected_period, 1)), 'Budget Planning'!$E$9:$EM$9, 0)))</f>
        <v/>
      </c>
      <c r="M107" s="50" t="str" cm="1">
        <f t="array" ref="M107">IF(is_category, IF(header_row_id=income_header_row, MATCH(income_min_row, $C:$C, 0), IF(header_row_id=expenses_header_row, MATCH(expenses_min_row, $C:$C, 0), IF(header_row_id=savings_header_row, MATCH(savings_min_row, $C:$C, 0), ""))), "")</f>
        <v/>
      </c>
      <c r="N107" s="51" t="str" cm="1">
        <f t="array" ref="N107">IF(is_category, IF(header_row_id=income_header_row, MATCH(income_max_row, $C:$C, 0), IF(header_row_id=expenses_header_row, MATCH(expenses_max_row, $C:$C, 0), IF(header_row_id=savings_header_row, MATCH(savings_max_row, $C:$C, 0), ""))), "")</f>
        <v/>
      </c>
      <c r="O107" s="50" t="str">
        <f t="shared" si="41"/>
        <v/>
      </c>
      <c r="P107" s="49" t="str">
        <f t="shared" ca="1" si="42"/>
        <v/>
      </c>
      <c r="Q107" s="49" t="str">
        <f t="shared" si="43"/>
        <v/>
      </c>
      <c r="R107" s="51" t="str">
        <f t="shared" ca="1" si="44"/>
        <v/>
      </c>
      <c r="S107" s="50" t="str">
        <f t="shared" si="45"/>
        <v/>
      </c>
      <c r="T107" s="49" t="str">
        <f t="shared" si="46"/>
        <v/>
      </c>
      <c r="U107" s="49" t="str">
        <f t="shared" ca="1" si="47"/>
        <v/>
      </c>
      <c r="V107" s="49" t="str">
        <f t="shared" si="48"/>
        <v/>
      </c>
      <c r="W107" s="47" t="str">
        <f t="shared" ca="1" si="49"/>
        <v/>
      </c>
      <c r="X107" s="56">
        <f t="shared" si="50"/>
        <v>-1</v>
      </c>
      <c r="Y107" s="57" t="str">
        <f t="shared" si="51"/>
        <v/>
      </c>
      <c r="Z107" s="59" t="str">
        <f t="shared" si="52"/>
        <v/>
      </c>
      <c r="AA107" s="59" t="str">
        <f t="shared" si="53"/>
        <v/>
      </c>
      <c r="AB107" s="58" t="str">
        <f t="shared" si="54"/>
        <v/>
      </c>
      <c r="AC107" s="59" t="str">
        <f t="shared" si="55"/>
        <v/>
      </c>
      <c r="AD107" s="59" t="str">
        <f t="shared" si="56"/>
        <v/>
      </c>
    </row>
    <row r="108" spans="3:30" x14ac:dyDescent="0.25">
      <c r="C108" s="4" cm="1">
        <f t="array" ref="C108">IF(C107=-1,-1, IF(C107&lt;income_max_row, C107+1, IF(C107=income_max_row, income_total_row, IF(C107=income_total_row, "/1", IF(C107="/1", expenses_header_row, IF(C107&lt;expenses_max_row, C107+1, IF(C107=expenses_max_row, expenses_total_row, IF(C107=expenses_total_row, "/2", IF(C107="/2", savings_header_row, IF(C107&lt;savings_max_row, C107+1, IF(C107=savings_max_row, savings_total_row, -1)))))))))))</f>
        <v>-1</v>
      </c>
      <c r="D108" s="5">
        <f t="shared" si="38"/>
        <v>-1</v>
      </c>
      <c r="E108" s="4" cm="1">
        <f t="array" ref="E108">1*OR(row_id=income_header_row, row_id=expenses_header_row, row_id=savings_header_row)</f>
        <v>0</v>
      </c>
      <c r="F108">
        <f t="shared" si="39"/>
        <v>0</v>
      </c>
      <c r="G108" cm="1">
        <f t="array" ref="G108">1*OR(row_id=income_total_row, row_id=expenses_total_row, row_id=savings_total_row)</f>
        <v>0</v>
      </c>
      <c r="H108" s="5">
        <f t="shared" si="40"/>
        <v>1</v>
      </c>
      <c r="I108" s="4" t="str" cm="1">
        <f t="array" ref="I108">IFERROR(INDEX('Budget Planning'!$C:$C, header_row_id), "")</f>
        <v/>
      </c>
      <c r="J108" t="str" cm="1">
        <f t="array" ref="J108">IFERROR(INDEX('Budget Planning'!$C:$C, row_id), "")</f>
        <v/>
      </c>
      <c r="K108" s="52" t="str" cm="1">
        <f t="array" ref="K10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8" s="53" t="str" cm="1">
        <f t="array" ref="L108">IF(OR(is_header, is_empty), "", INDEX('Budget Planning'!$E:$EM, row_id, MATCH(IF(selected_period="Total Year", selected_year, DATE(selected_year, selected_period, 1)), 'Budget Planning'!$E$9:$EM$9, 0)))</f>
        <v/>
      </c>
      <c r="M108" s="50" t="str" cm="1">
        <f t="array" ref="M108">IF(is_category, IF(header_row_id=income_header_row, MATCH(income_min_row, $C:$C, 0), IF(header_row_id=expenses_header_row, MATCH(expenses_min_row, $C:$C, 0), IF(header_row_id=savings_header_row, MATCH(savings_min_row, $C:$C, 0), ""))), "")</f>
        <v/>
      </c>
      <c r="N108" s="51" t="str" cm="1">
        <f t="array" ref="N108">IF(is_category, IF(header_row_id=income_header_row, MATCH(income_max_row, $C:$C, 0), IF(header_row_id=expenses_header_row, MATCH(expenses_max_row, $C:$C, 0), IF(header_row_id=savings_header_row, MATCH(savings_max_row, $C:$C, 0), ""))), "")</f>
        <v/>
      </c>
      <c r="O108" s="50" t="str">
        <f t="shared" si="41"/>
        <v/>
      </c>
      <c r="P108" s="49" t="str">
        <f t="shared" ca="1" si="42"/>
        <v/>
      </c>
      <c r="Q108" s="49" t="str">
        <f t="shared" si="43"/>
        <v/>
      </c>
      <c r="R108" s="51" t="str">
        <f t="shared" ca="1" si="44"/>
        <v/>
      </c>
      <c r="S108" s="50" t="str">
        <f t="shared" si="45"/>
        <v/>
      </c>
      <c r="T108" s="49" t="str">
        <f t="shared" si="46"/>
        <v/>
      </c>
      <c r="U108" s="49" t="str">
        <f t="shared" ca="1" si="47"/>
        <v/>
      </c>
      <c r="V108" s="49" t="str">
        <f t="shared" si="48"/>
        <v/>
      </c>
      <c r="W108" s="47" t="str">
        <f t="shared" ca="1" si="49"/>
        <v/>
      </c>
      <c r="X108" s="56">
        <f t="shared" si="50"/>
        <v>-1</v>
      </c>
      <c r="Y108" s="57" t="str">
        <f t="shared" si="51"/>
        <v/>
      </c>
      <c r="Z108" s="59" t="str">
        <f t="shared" si="52"/>
        <v/>
      </c>
      <c r="AA108" s="59" t="str">
        <f t="shared" si="53"/>
        <v/>
      </c>
      <c r="AB108" s="58" t="str">
        <f t="shared" si="54"/>
        <v/>
      </c>
      <c r="AC108" s="59" t="str">
        <f t="shared" si="55"/>
        <v/>
      </c>
      <c r="AD108" s="59" t="str">
        <f t="shared" si="56"/>
        <v/>
      </c>
    </row>
    <row r="109" spans="3:30" x14ac:dyDescent="0.25">
      <c r="C109" s="4" cm="1">
        <f t="array" ref="C109">IF(C108=-1,-1, IF(C108&lt;income_max_row, C108+1, IF(C108=income_max_row, income_total_row, IF(C108=income_total_row, "/1", IF(C108="/1", expenses_header_row, IF(C108&lt;expenses_max_row, C108+1, IF(C108=expenses_max_row, expenses_total_row, IF(C108=expenses_total_row, "/2", IF(C108="/2", savings_header_row, IF(C108&lt;savings_max_row, C108+1, IF(C108=savings_max_row, savings_total_row, -1)))))))))))</f>
        <v>-1</v>
      </c>
      <c r="D109" s="5">
        <f t="shared" ref="D109:D140" si="57">IF(is_header, row_id, IF(NOT(is_empty), D108, -1))</f>
        <v>-1</v>
      </c>
      <c r="E109" s="4" cm="1">
        <f t="array" ref="E109">1*OR(row_id=income_header_row, row_id=expenses_header_row, row_id=savings_header_row)</f>
        <v>0</v>
      </c>
      <c r="F109">
        <f t="shared" ref="F109:F140" si="58">1*NOT(OR(is_header, is_total, is_empty))</f>
        <v>0</v>
      </c>
      <c r="G109" cm="1">
        <f t="array" ref="G109">1*OR(row_id=income_total_row, row_id=expenses_total_row, row_id=savings_total_row)</f>
        <v>0</v>
      </c>
      <c r="H109" s="5">
        <f t="shared" ref="H109:H140" si="59">1*OR(row_id="/1", row_id="/2", row_id=-1)</f>
        <v>1</v>
      </c>
      <c r="I109" s="4" t="str" cm="1">
        <f t="array" ref="I109">IFERROR(INDEX('Budget Planning'!$C:$C, header_row_id), "")</f>
        <v/>
      </c>
      <c r="J109" t="str" cm="1">
        <f t="array" ref="J109">IFERROR(INDEX('Budget Planning'!$C:$C, row_id), "")</f>
        <v/>
      </c>
      <c r="K109" s="52" t="str" cm="1">
        <f t="array" ref="K10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09" s="53" t="str" cm="1">
        <f t="array" ref="L109">IF(OR(is_header, is_empty), "", INDEX('Budget Planning'!$E:$EM, row_id, MATCH(IF(selected_period="Total Year", selected_year, DATE(selected_year, selected_period, 1)), 'Budget Planning'!$E$9:$EM$9, 0)))</f>
        <v/>
      </c>
      <c r="M109" s="50" t="str" cm="1">
        <f t="array" ref="M109">IF(is_category, IF(header_row_id=income_header_row, MATCH(income_min_row, $C:$C, 0), IF(header_row_id=expenses_header_row, MATCH(expenses_min_row, $C:$C, 0), IF(header_row_id=savings_header_row, MATCH(savings_min_row, $C:$C, 0), ""))), "")</f>
        <v/>
      </c>
      <c r="N109" s="51" t="str" cm="1">
        <f t="array" ref="N109">IF(is_category, IF(header_row_id=income_header_row, MATCH(income_max_row, $C:$C, 0), IF(header_row_id=expenses_header_row, MATCH(expenses_max_row, $C:$C, 0), IF(header_row_id=savings_header_row, MATCH(savings_max_row, $C:$C, 0), ""))), "")</f>
        <v/>
      </c>
      <c r="O109" s="50" t="str">
        <f t="shared" ref="O109:O140" si="60">IF(is_category, ADDRESS(sort_min_row, COLUMN(tracked)) &amp; ":" &amp; ADDRESS(sort_max_row, COLUMN(tracked)), "")</f>
        <v/>
      </c>
      <c r="P109" s="49" t="str">
        <f t="shared" ref="P109:P140" ca="1" si="61">IF(is_category, RANK(tracked, INDIRECT(tracked_range), 0), "")</f>
        <v/>
      </c>
      <c r="Q109" s="49" t="str">
        <f t="shared" ref="Q109:Q140" si="62">IF(is_category, ADDRESS(sort_min_row, COLUMN(budget)) &amp; ":" &amp; ADDRESS(sort_max_row, COLUMN(budget)), "")</f>
        <v/>
      </c>
      <c r="R109" s="51" t="str">
        <f t="shared" ref="R109:R140" ca="1" si="63">IF(is_category, RANK(budget, INDIRECT(budget_range), 0), "")</f>
        <v/>
      </c>
      <c r="S109" s="50" t="str">
        <f t="shared" ref="S109:S140" si="64">IF(is_category, _xlfn.NUMBERVALUE(tracker_rank &amp; budget_rank), "")</f>
        <v/>
      </c>
      <c r="T109" s="49" t="str">
        <f t="shared" ref="T109:T140" si="65">IF(is_category, ADDRESS(sort_min_row, COLUMN(combined_rank)) &amp; ":" &amp; ADDRESS(sort_max_row, COLUMN(combined_rank)), "")</f>
        <v/>
      </c>
      <c r="U109" s="49" t="str">
        <f t="shared" ref="U109:U140" ca="1" si="66">IF(is_category, RANK(combined_rank, INDIRECT(combined_rank_range), 1), "")</f>
        <v/>
      </c>
      <c r="V109" s="49" t="str">
        <f t="shared" ref="V109:V140" si="67">IF(is_category, ADDRESS(sort_min_row, COLUMN(combined_rank_norm)) &amp; ":" &amp; ADDRESS(ROW(), COLUMN(combined_rank_norm)), "")</f>
        <v/>
      </c>
      <c r="W109" s="47" t="str">
        <f t="shared" ref="W109:W140" ca="1" si="68">IF(is_category, combined_rank_norm + COUNTIF(INDIRECT(combined_rank_norm_run_range), combined_rank_norm)-1, "")</f>
        <v/>
      </c>
      <c r="X109" s="56">
        <f t="shared" ref="X109:X140" si="69">IF(is_category, header_row_id + combined_rank_unique, row_id)</f>
        <v>-1</v>
      </c>
      <c r="Y109" s="57" t="str">
        <f t="shared" ref="Y109:Y140" si="70">IF(is_empty, "", INDEX($J:$J, MATCH(row_id, $X:$X, 0)))</f>
        <v/>
      </c>
      <c r="Z109" s="59" t="str">
        <f t="shared" ref="Z109:Z140" si="71">IF(is_empty, "", IF(is_header, "Tracked", INDEX($K:$K, MATCH(row_id, $X:$X, 0))))</f>
        <v/>
      </c>
      <c r="AA109" s="59" t="str">
        <f t="shared" ref="AA109:AA140" si="72">IF(is_empty, "", IF(is_header, "Budget", INDEX($L:$L, MATCH(row_id, $X:$X, 0))))</f>
        <v/>
      </c>
      <c r="AB109" s="58" t="str">
        <f t="shared" ref="AB109:AB140" si="73">IF(is_empty, "", IF(is_header, "% Compl.", IFERROR(out_tracked / out_budget, "-")))</f>
        <v/>
      </c>
      <c r="AC109" s="59" t="str">
        <f t="shared" ref="AC109:AC140" si="74">IF(is_empty, "", IF(is_header, "Remaining", IF(out_budget - out_tracked &gt; 0, out_budget - out_tracked, 0)))</f>
        <v/>
      </c>
      <c r="AD109" s="59" t="str">
        <f t="shared" ref="AD109:AD140" si="75">IF(is_empty, "", IF(is_header, "Excess", IF(out_budget - out_tracked &lt; 0, out_tracked - out_budget, 0)))</f>
        <v/>
      </c>
    </row>
    <row r="110" spans="3:30" x14ac:dyDescent="0.25">
      <c r="C110" s="4" cm="1">
        <f t="array" ref="C110">IF(C109=-1,-1, IF(C109&lt;income_max_row, C109+1, IF(C109=income_max_row, income_total_row, IF(C109=income_total_row, "/1", IF(C109="/1", expenses_header_row, IF(C109&lt;expenses_max_row, C109+1, IF(C109=expenses_max_row, expenses_total_row, IF(C109=expenses_total_row, "/2", IF(C109="/2", savings_header_row, IF(C109&lt;savings_max_row, C109+1, IF(C109=savings_max_row, savings_total_row, -1)))))))))))</f>
        <v>-1</v>
      </c>
      <c r="D110" s="5">
        <f t="shared" si="57"/>
        <v>-1</v>
      </c>
      <c r="E110" s="4" cm="1">
        <f t="array" ref="E110">1*OR(row_id=income_header_row, row_id=expenses_header_row, row_id=savings_header_row)</f>
        <v>0</v>
      </c>
      <c r="F110">
        <f t="shared" si="58"/>
        <v>0</v>
      </c>
      <c r="G110" cm="1">
        <f t="array" ref="G110">1*OR(row_id=income_total_row, row_id=expenses_total_row, row_id=savings_total_row)</f>
        <v>0</v>
      </c>
      <c r="H110" s="5">
        <f t="shared" si="59"/>
        <v>1</v>
      </c>
      <c r="I110" s="4" t="str" cm="1">
        <f t="array" ref="I110">IFERROR(INDEX('Budget Planning'!$C:$C, header_row_id), "")</f>
        <v/>
      </c>
      <c r="J110" t="str" cm="1">
        <f t="array" ref="J110">IFERROR(INDEX('Budget Planning'!$C:$C, row_id), "")</f>
        <v/>
      </c>
      <c r="K110" s="52" t="str" cm="1">
        <f t="array" ref="K11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0" s="53" t="str" cm="1">
        <f t="array" ref="L110">IF(OR(is_header, is_empty), "", INDEX('Budget Planning'!$E:$EM, row_id, MATCH(IF(selected_period="Total Year", selected_year, DATE(selected_year, selected_period, 1)), 'Budget Planning'!$E$9:$EM$9, 0)))</f>
        <v/>
      </c>
      <c r="M110" s="50" t="str" cm="1">
        <f t="array" ref="M110">IF(is_category, IF(header_row_id=income_header_row, MATCH(income_min_row, $C:$C, 0), IF(header_row_id=expenses_header_row, MATCH(expenses_min_row, $C:$C, 0), IF(header_row_id=savings_header_row, MATCH(savings_min_row, $C:$C, 0), ""))), "")</f>
        <v/>
      </c>
      <c r="N110" s="51" t="str" cm="1">
        <f t="array" ref="N110">IF(is_category, IF(header_row_id=income_header_row, MATCH(income_max_row, $C:$C, 0), IF(header_row_id=expenses_header_row, MATCH(expenses_max_row, $C:$C, 0), IF(header_row_id=savings_header_row, MATCH(savings_max_row, $C:$C, 0), ""))), "")</f>
        <v/>
      </c>
      <c r="O110" s="50" t="str">
        <f t="shared" si="60"/>
        <v/>
      </c>
      <c r="P110" s="49" t="str">
        <f t="shared" ca="1" si="61"/>
        <v/>
      </c>
      <c r="Q110" s="49" t="str">
        <f t="shared" si="62"/>
        <v/>
      </c>
      <c r="R110" s="51" t="str">
        <f t="shared" ca="1" si="63"/>
        <v/>
      </c>
      <c r="S110" s="50" t="str">
        <f t="shared" si="64"/>
        <v/>
      </c>
      <c r="T110" s="49" t="str">
        <f t="shared" si="65"/>
        <v/>
      </c>
      <c r="U110" s="49" t="str">
        <f t="shared" ca="1" si="66"/>
        <v/>
      </c>
      <c r="V110" s="49" t="str">
        <f t="shared" si="67"/>
        <v/>
      </c>
      <c r="W110" s="47" t="str">
        <f t="shared" ca="1" si="68"/>
        <v/>
      </c>
      <c r="X110" s="56">
        <f t="shared" si="69"/>
        <v>-1</v>
      </c>
      <c r="Y110" s="57" t="str">
        <f t="shared" si="70"/>
        <v/>
      </c>
      <c r="Z110" s="59" t="str">
        <f t="shared" si="71"/>
        <v/>
      </c>
      <c r="AA110" s="59" t="str">
        <f t="shared" si="72"/>
        <v/>
      </c>
      <c r="AB110" s="58" t="str">
        <f t="shared" si="73"/>
        <v/>
      </c>
      <c r="AC110" s="59" t="str">
        <f t="shared" si="74"/>
        <v/>
      </c>
      <c r="AD110" s="59" t="str">
        <f t="shared" si="75"/>
        <v/>
      </c>
    </row>
    <row r="111" spans="3:30" x14ac:dyDescent="0.25">
      <c r="C111" s="4" cm="1">
        <f t="array" ref="C111">IF(C110=-1,-1, IF(C110&lt;income_max_row, C110+1, IF(C110=income_max_row, income_total_row, IF(C110=income_total_row, "/1", IF(C110="/1", expenses_header_row, IF(C110&lt;expenses_max_row, C110+1, IF(C110=expenses_max_row, expenses_total_row, IF(C110=expenses_total_row, "/2", IF(C110="/2", savings_header_row, IF(C110&lt;savings_max_row, C110+1, IF(C110=savings_max_row, savings_total_row, -1)))))))))))</f>
        <v>-1</v>
      </c>
      <c r="D111" s="5">
        <f t="shared" si="57"/>
        <v>-1</v>
      </c>
      <c r="E111" s="4" cm="1">
        <f t="array" ref="E111">1*OR(row_id=income_header_row, row_id=expenses_header_row, row_id=savings_header_row)</f>
        <v>0</v>
      </c>
      <c r="F111">
        <f t="shared" si="58"/>
        <v>0</v>
      </c>
      <c r="G111" cm="1">
        <f t="array" ref="G111">1*OR(row_id=income_total_row, row_id=expenses_total_row, row_id=savings_total_row)</f>
        <v>0</v>
      </c>
      <c r="H111" s="5">
        <f t="shared" si="59"/>
        <v>1</v>
      </c>
      <c r="I111" s="4" t="str" cm="1">
        <f t="array" ref="I111">IFERROR(INDEX('Budget Planning'!$C:$C, header_row_id), "")</f>
        <v/>
      </c>
      <c r="J111" t="str" cm="1">
        <f t="array" ref="J111">IFERROR(INDEX('Budget Planning'!$C:$C, row_id), "")</f>
        <v/>
      </c>
      <c r="K111" s="52" t="str" cm="1">
        <f t="array" ref="K11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1" s="53" t="str" cm="1">
        <f t="array" ref="L111">IF(OR(is_header, is_empty), "", INDEX('Budget Planning'!$E:$EM, row_id, MATCH(IF(selected_period="Total Year", selected_year, DATE(selected_year, selected_period, 1)), 'Budget Planning'!$E$9:$EM$9, 0)))</f>
        <v/>
      </c>
      <c r="M111" s="50" t="str" cm="1">
        <f t="array" ref="M111">IF(is_category, IF(header_row_id=income_header_row, MATCH(income_min_row, $C:$C, 0), IF(header_row_id=expenses_header_row, MATCH(expenses_min_row, $C:$C, 0), IF(header_row_id=savings_header_row, MATCH(savings_min_row, $C:$C, 0), ""))), "")</f>
        <v/>
      </c>
      <c r="N111" s="51" t="str" cm="1">
        <f t="array" ref="N111">IF(is_category, IF(header_row_id=income_header_row, MATCH(income_max_row, $C:$C, 0), IF(header_row_id=expenses_header_row, MATCH(expenses_max_row, $C:$C, 0), IF(header_row_id=savings_header_row, MATCH(savings_max_row, $C:$C, 0), ""))), "")</f>
        <v/>
      </c>
      <c r="O111" s="50" t="str">
        <f t="shared" si="60"/>
        <v/>
      </c>
      <c r="P111" s="49" t="str">
        <f t="shared" ca="1" si="61"/>
        <v/>
      </c>
      <c r="Q111" s="49" t="str">
        <f t="shared" si="62"/>
        <v/>
      </c>
      <c r="R111" s="51" t="str">
        <f t="shared" ca="1" si="63"/>
        <v/>
      </c>
      <c r="S111" s="50" t="str">
        <f t="shared" si="64"/>
        <v/>
      </c>
      <c r="T111" s="49" t="str">
        <f t="shared" si="65"/>
        <v/>
      </c>
      <c r="U111" s="49" t="str">
        <f t="shared" ca="1" si="66"/>
        <v/>
      </c>
      <c r="V111" s="49" t="str">
        <f t="shared" si="67"/>
        <v/>
      </c>
      <c r="W111" s="47" t="str">
        <f t="shared" ca="1" si="68"/>
        <v/>
      </c>
      <c r="X111" s="56">
        <f t="shared" si="69"/>
        <v>-1</v>
      </c>
      <c r="Y111" s="57" t="str">
        <f t="shared" si="70"/>
        <v/>
      </c>
      <c r="Z111" s="59" t="str">
        <f t="shared" si="71"/>
        <v/>
      </c>
      <c r="AA111" s="59" t="str">
        <f t="shared" si="72"/>
        <v/>
      </c>
      <c r="AB111" s="58" t="str">
        <f t="shared" si="73"/>
        <v/>
      </c>
      <c r="AC111" s="59" t="str">
        <f t="shared" si="74"/>
        <v/>
      </c>
      <c r="AD111" s="59" t="str">
        <f t="shared" si="75"/>
        <v/>
      </c>
    </row>
    <row r="112" spans="3:30" x14ac:dyDescent="0.25">
      <c r="C112" s="4" cm="1">
        <f t="array" ref="C112">IF(C111=-1,-1, IF(C111&lt;income_max_row, C111+1, IF(C111=income_max_row, income_total_row, IF(C111=income_total_row, "/1", IF(C111="/1", expenses_header_row, IF(C111&lt;expenses_max_row, C111+1, IF(C111=expenses_max_row, expenses_total_row, IF(C111=expenses_total_row, "/2", IF(C111="/2", savings_header_row, IF(C111&lt;savings_max_row, C111+1, IF(C111=savings_max_row, savings_total_row, -1)))))))))))</f>
        <v>-1</v>
      </c>
      <c r="D112" s="5">
        <f t="shared" si="57"/>
        <v>-1</v>
      </c>
      <c r="E112" s="4" cm="1">
        <f t="array" ref="E112">1*OR(row_id=income_header_row, row_id=expenses_header_row, row_id=savings_header_row)</f>
        <v>0</v>
      </c>
      <c r="F112">
        <f t="shared" si="58"/>
        <v>0</v>
      </c>
      <c r="G112" cm="1">
        <f t="array" ref="G112">1*OR(row_id=income_total_row, row_id=expenses_total_row, row_id=savings_total_row)</f>
        <v>0</v>
      </c>
      <c r="H112" s="5">
        <f t="shared" si="59"/>
        <v>1</v>
      </c>
      <c r="I112" s="4" t="str" cm="1">
        <f t="array" ref="I112">IFERROR(INDEX('Budget Planning'!$C:$C, header_row_id), "")</f>
        <v/>
      </c>
      <c r="J112" t="str" cm="1">
        <f t="array" ref="J112">IFERROR(INDEX('Budget Planning'!$C:$C, row_id), "")</f>
        <v/>
      </c>
      <c r="K112" s="52" t="str" cm="1">
        <f t="array" ref="K11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2" s="53" t="str" cm="1">
        <f t="array" ref="L112">IF(OR(is_header, is_empty), "", INDEX('Budget Planning'!$E:$EM, row_id, MATCH(IF(selected_period="Total Year", selected_year, DATE(selected_year, selected_period, 1)), 'Budget Planning'!$E$9:$EM$9, 0)))</f>
        <v/>
      </c>
      <c r="M112" s="50" t="str" cm="1">
        <f t="array" ref="M112">IF(is_category, IF(header_row_id=income_header_row, MATCH(income_min_row, $C:$C, 0), IF(header_row_id=expenses_header_row, MATCH(expenses_min_row, $C:$C, 0), IF(header_row_id=savings_header_row, MATCH(savings_min_row, $C:$C, 0), ""))), "")</f>
        <v/>
      </c>
      <c r="N112" s="51" t="str" cm="1">
        <f t="array" ref="N112">IF(is_category, IF(header_row_id=income_header_row, MATCH(income_max_row, $C:$C, 0), IF(header_row_id=expenses_header_row, MATCH(expenses_max_row, $C:$C, 0), IF(header_row_id=savings_header_row, MATCH(savings_max_row, $C:$C, 0), ""))), "")</f>
        <v/>
      </c>
      <c r="O112" s="50" t="str">
        <f t="shared" si="60"/>
        <v/>
      </c>
      <c r="P112" s="49" t="str">
        <f t="shared" ca="1" si="61"/>
        <v/>
      </c>
      <c r="Q112" s="49" t="str">
        <f t="shared" si="62"/>
        <v/>
      </c>
      <c r="R112" s="51" t="str">
        <f t="shared" ca="1" si="63"/>
        <v/>
      </c>
      <c r="S112" s="50" t="str">
        <f t="shared" si="64"/>
        <v/>
      </c>
      <c r="T112" s="49" t="str">
        <f t="shared" si="65"/>
        <v/>
      </c>
      <c r="U112" s="49" t="str">
        <f t="shared" ca="1" si="66"/>
        <v/>
      </c>
      <c r="V112" s="49" t="str">
        <f t="shared" si="67"/>
        <v/>
      </c>
      <c r="W112" s="47" t="str">
        <f t="shared" ca="1" si="68"/>
        <v/>
      </c>
      <c r="X112" s="56">
        <f t="shared" si="69"/>
        <v>-1</v>
      </c>
      <c r="Y112" s="57" t="str">
        <f t="shared" si="70"/>
        <v/>
      </c>
      <c r="Z112" s="59" t="str">
        <f t="shared" si="71"/>
        <v/>
      </c>
      <c r="AA112" s="59" t="str">
        <f t="shared" si="72"/>
        <v/>
      </c>
      <c r="AB112" s="58" t="str">
        <f t="shared" si="73"/>
        <v/>
      </c>
      <c r="AC112" s="59" t="str">
        <f t="shared" si="74"/>
        <v/>
      </c>
      <c r="AD112" s="59" t="str">
        <f t="shared" si="75"/>
        <v/>
      </c>
    </row>
    <row r="113" spans="3:30" x14ac:dyDescent="0.25">
      <c r="C113" s="4" cm="1">
        <f t="array" ref="C113">IF(C112=-1,-1, IF(C112&lt;income_max_row, C112+1, IF(C112=income_max_row, income_total_row, IF(C112=income_total_row, "/1", IF(C112="/1", expenses_header_row, IF(C112&lt;expenses_max_row, C112+1, IF(C112=expenses_max_row, expenses_total_row, IF(C112=expenses_total_row, "/2", IF(C112="/2", savings_header_row, IF(C112&lt;savings_max_row, C112+1, IF(C112=savings_max_row, savings_total_row, -1)))))))))))</f>
        <v>-1</v>
      </c>
      <c r="D113" s="5">
        <f t="shared" si="57"/>
        <v>-1</v>
      </c>
      <c r="E113" s="4" cm="1">
        <f t="array" ref="E113">1*OR(row_id=income_header_row, row_id=expenses_header_row, row_id=savings_header_row)</f>
        <v>0</v>
      </c>
      <c r="F113">
        <f t="shared" si="58"/>
        <v>0</v>
      </c>
      <c r="G113" cm="1">
        <f t="array" ref="G113">1*OR(row_id=income_total_row, row_id=expenses_total_row, row_id=savings_total_row)</f>
        <v>0</v>
      </c>
      <c r="H113" s="5">
        <f t="shared" si="59"/>
        <v>1</v>
      </c>
      <c r="I113" s="4" t="str" cm="1">
        <f t="array" ref="I113">IFERROR(INDEX('Budget Planning'!$C:$C, header_row_id), "")</f>
        <v/>
      </c>
      <c r="J113" t="str" cm="1">
        <f t="array" ref="J113">IFERROR(INDEX('Budget Planning'!$C:$C, row_id), "")</f>
        <v/>
      </c>
      <c r="K113" s="52" t="str" cm="1">
        <f t="array" ref="K11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3" s="53" t="str" cm="1">
        <f t="array" ref="L113">IF(OR(is_header, is_empty), "", INDEX('Budget Planning'!$E:$EM, row_id, MATCH(IF(selected_period="Total Year", selected_year, DATE(selected_year, selected_period, 1)), 'Budget Planning'!$E$9:$EM$9, 0)))</f>
        <v/>
      </c>
      <c r="M113" s="50" t="str" cm="1">
        <f t="array" ref="M113">IF(is_category, IF(header_row_id=income_header_row, MATCH(income_min_row, $C:$C, 0), IF(header_row_id=expenses_header_row, MATCH(expenses_min_row, $C:$C, 0), IF(header_row_id=savings_header_row, MATCH(savings_min_row, $C:$C, 0), ""))), "")</f>
        <v/>
      </c>
      <c r="N113" s="51" t="str" cm="1">
        <f t="array" ref="N113">IF(is_category, IF(header_row_id=income_header_row, MATCH(income_max_row, $C:$C, 0), IF(header_row_id=expenses_header_row, MATCH(expenses_max_row, $C:$C, 0), IF(header_row_id=savings_header_row, MATCH(savings_max_row, $C:$C, 0), ""))), "")</f>
        <v/>
      </c>
      <c r="O113" s="50" t="str">
        <f t="shared" si="60"/>
        <v/>
      </c>
      <c r="P113" s="49" t="str">
        <f t="shared" ca="1" si="61"/>
        <v/>
      </c>
      <c r="Q113" s="49" t="str">
        <f t="shared" si="62"/>
        <v/>
      </c>
      <c r="R113" s="51" t="str">
        <f t="shared" ca="1" si="63"/>
        <v/>
      </c>
      <c r="S113" s="50" t="str">
        <f t="shared" si="64"/>
        <v/>
      </c>
      <c r="T113" s="49" t="str">
        <f t="shared" si="65"/>
        <v/>
      </c>
      <c r="U113" s="49" t="str">
        <f t="shared" ca="1" si="66"/>
        <v/>
      </c>
      <c r="V113" s="49" t="str">
        <f t="shared" si="67"/>
        <v/>
      </c>
      <c r="W113" s="47" t="str">
        <f t="shared" ca="1" si="68"/>
        <v/>
      </c>
      <c r="X113" s="56">
        <f t="shared" si="69"/>
        <v>-1</v>
      </c>
      <c r="Y113" s="57" t="str">
        <f t="shared" si="70"/>
        <v/>
      </c>
      <c r="Z113" s="59" t="str">
        <f t="shared" si="71"/>
        <v/>
      </c>
      <c r="AA113" s="59" t="str">
        <f t="shared" si="72"/>
        <v/>
      </c>
      <c r="AB113" s="58" t="str">
        <f t="shared" si="73"/>
        <v/>
      </c>
      <c r="AC113" s="59" t="str">
        <f t="shared" si="74"/>
        <v/>
      </c>
      <c r="AD113" s="59" t="str">
        <f t="shared" si="75"/>
        <v/>
      </c>
    </row>
    <row r="114" spans="3:30" x14ac:dyDescent="0.25">
      <c r="C114" s="4" cm="1">
        <f t="array" ref="C114">IF(C113=-1,-1, IF(C113&lt;income_max_row, C113+1, IF(C113=income_max_row, income_total_row, IF(C113=income_total_row, "/1", IF(C113="/1", expenses_header_row, IF(C113&lt;expenses_max_row, C113+1, IF(C113=expenses_max_row, expenses_total_row, IF(C113=expenses_total_row, "/2", IF(C113="/2", savings_header_row, IF(C113&lt;savings_max_row, C113+1, IF(C113=savings_max_row, savings_total_row, -1)))))))))))</f>
        <v>-1</v>
      </c>
      <c r="D114" s="5">
        <f t="shared" si="57"/>
        <v>-1</v>
      </c>
      <c r="E114" s="4" cm="1">
        <f t="array" ref="E114">1*OR(row_id=income_header_row, row_id=expenses_header_row, row_id=savings_header_row)</f>
        <v>0</v>
      </c>
      <c r="F114">
        <f t="shared" si="58"/>
        <v>0</v>
      </c>
      <c r="G114" cm="1">
        <f t="array" ref="G114">1*OR(row_id=income_total_row, row_id=expenses_total_row, row_id=savings_total_row)</f>
        <v>0</v>
      </c>
      <c r="H114" s="5">
        <f t="shared" si="59"/>
        <v>1</v>
      </c>
      <c r="I114" s="4" t="str" cm="1">
        <f t="array" ref="I114">IFERROR(INDEX('Budget Planning'!$C:$C, header_row_id), "")</f>
        <v/>
      </c>
      <c r="J114" t="str" cm="1">
        <f t="array" ref="J114">IFERROR(INDEX('Budget Planning'!$C:$C, row_id), "")</f>
        <v/>
      </c>
      <c r="K114" s="52" t="str" cm="1">
        <f t="array" ref="K11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4" s="53" t="str" cm="1">
        <f t="array" ref="L114">IF(OR(is_header, is_empty), "", INDEX('Budget Planning'!$E:$EM, row_id, MATCH(IF(selected_period="Total Year", selected_year, DATE(selected_year, selected_period, 1)), 'Budget Planning'!$E$9:$EM$9, 0)))</f>
        <v/>
      </c>
      <c r="M114" s="50" t="str" cm="1">
        <f t="array" ref="M114">IF(is_category, IF(header_row_id=income_header_row, MATCH(income_min_row, $C:$C, 0), IF(header_row_id=expenses_header_row, MATCH(expenses_min_row, $C:$C, 0), IF(header_row_id=savings_header_row, MATCH(savings_min_row, $C:$C, 0), ""))), "")</f>
        <v/>
      </c>
      <c r="N114" s="51" t="str" cm="1">
        <f t="array" ref="N114">IF(is_category, IF(header_row_id=income_header_row, MATCH(income_max_row, $C:$C, 0), IF(header_row_id=expenses_header_row, MATCH(expenses_max_row, $C:$C, 0), IF(header_row_id=savings_header_row, MATCH(savings_max_row, $C:$C, 0), ""))), "")</f>
        <v/>
      </c>
      <c r="O114" s="50" t="str">
        <f t="shared" si="60"/>
        <v/>
      </c>
      <c r="P114" s="49" t="str">
        <f t="shared" ca="1" si="61"/>
        <v/>
      </c>
      <c r="Q114" s="49" t="str">
        <f t="shared" si="62"/>
        <v/>
      </c>
      <c r="R114" s="51" t="str">
        <f t="shared" ca="1" si="63"/>
        <v/>
      </c>
      <c r="S114" s="50" t="str">
        <f t="shared" si="64"/>
        <v/>
      </c>
      <c r="T114" s="49" t="str">
        <f t="shared" si="65"/>
        <v/>
      </c>
      <c r="U114" s="49" t="str">
        <f t="shared" ca="1" si="66"/>
        <v/>
      </c>
      <c r="V114" s="49" t="str">
        <f t="shared" si="67"/>
        <v/>
      </c>
      <c r="W114" s="47" t="str">
        <f t="shared" ca="1" si="68"/>
        <v/>
      </c>
      <c r="X114" s="56">
        <f t="shared" si="69"/>
        <v>-1</v>
      </c>
      <c r="Y114" s="57" t="str">
        <f t="shared" si="70"/>
        <v/>
      </c>
      <c r="Z114" s="59" t="str">
        <f t="shared" si="71"/>
        <v/>
      </c>
      <c r="AA114" s="59" t="str">
        <f t="shared" si="72"/>
        <v/>
      </c>
      <c r="AB114" s="58" t="str">
        <f t="shared" si="73"/>
        <v/>
      </c>
      <c r="AC114" s="59" t="str">
        <f t="shared" si="74"/>
        <v/>
      </c>
      <c r="AD114" s="59" t="str">
        <f t="shared" si="75"/>
        <v/>
      </c>
    </row>
    <row r="115" spans="3:30" x14ac:dyDescent="0.25">
      <c r="C115" s="4" cm="1">
        <f t="array" ref="C115">IF(C114=-1,-1, IF(C114&lt;income_max_row, C114+1, IF(C114=income_max_row, income_total_row, IF(C114=income_total_row, "/1", IF(C114="/1", expenses_header_row, IF(C114&lt;expenses_max_row, C114+1, IF(C114=expenses_max_row, expenses_total_row, IF(C114=expenses_total_row, "/2", IF(C114="/2", savings_header_row, IF(C114&lt;savings_max_row, C114+1, IF(C114=savings_max_row, savings_total_row, -1)))))))))))</f>
        <v>-1</v>
      </c>
      <c r="D115" s="5">
        <f t="shared" si="57"/>
        <v>-1</v>
      </c>
      <c r="E115" s="4" cm="1">
        <f t="array" ref="E115">1*OR(row_id=income_header_row, row_id=expenses_header_row, row_id=savings_header_row)</f>
        <v>0</v>
      </c>
      <c r="F115">
        <f t="shared" si="58"/>
        <v>0</v>
      </c>
      <c r="G115" cm="1">
        <f t="array" ref="G115">1*OR(row_id=income_total_row, row_id=expenses_total_row, row_id=savings_total_row)</f>
        <v>0</v>
      </c>
      <c r="H115" s="5">
        <f t="shared" si="59"/>
        <v>1</v>
      </c>
      <c r="I115" s="4" t="str" cm="1">
        <f t="array" ref="I115">IFERROR(INDEX('Budget Planning'!$C:$C, header_row_id), "")</f>
        <v/>
      </c>
      <c r="J115" t="str" cm="1">
        <f t="array" ref="J115">IFERROR(INDEX('Budget Planning'!$C:$C, row_id), "")</f>
        <v/>
      </c>
      <c r="K115" s="52" t="str" cm="1">
        <f t="array" ref="K11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5" s="53" t="str" cm="1">
        <f t="array" ref="L115">IF(OR(is_header, is_empty), "", INDEX('Budget Planning'!$E:$EM, row_id, MATCH(IF(selected_period="Total Year", selected_year, DATE(selected_year, selected_period, 1)), 'Budget Planning'!$E$9:$EM$9, 0)))</f>
        <v/>
      </c>
      <c r="M115" s="50" t="str" cm="1">
        <f t="array" ref="M115">IF(is_category, IF(header_row_id=income_header_row, MATCH(income_min_row, $C:$C, 0), IF(header_row_id=expenses_header_row, MATCH(expenses_min_row, $C:$C, 0), IF(header_row_id=savings_header_row, MATCH(savings_min_row, $C:$C, 0), ""))), "")</f>
        <v/>
      </c>
      <c r="N115" s="51" t="str" cm="1">
        <f t="array" ref="N115">IF(is_category, IF(header_row_id=income_header_row, MATCH(income_max_row, $C:$C, 0), IF(header_row_id=expenses_header_row, MATCH(expenses_max_row, $C:$C, 0), IF(header_row_id=savings_header_row, MATCH(savings_max_row, $C:$C, 0), ""))), "")</f>
        <v/>
      </c>
      <c r="O115" s="50" t="str">
        <f t="shared" si="60"/>
        <v/>
      </c>
      <c r="P115" s="49" t="str">
        <f t="shared" ca="1" si="61"/>
        <v/>
      </c>
      <c r="Q115" s="49" t="str">
        <f t="shared" si="62"/>
        <v/>
      </c>
      <c r="R115" s="51" t="str">
        <f t="shared" ca="1" si="63"/>
        <v/>
      </c>
      <c r="S115" s="50" t="str">
        <f t="shared" si="64"/>
        <v/>
      </c>
      <c r="T115" s="49" t="str">
        <f t="shared" si="65"/>
        <v/>
      </c>
      <c r="U115" s="49" t="str">
        <f t="shared" ca="1" si="66"/>
        <v/>
      </c>
      <c r="V115" s="49" t="str">
        <f t="shared" si="67"/>
        <v/>
      </c>
      <c r="W115" s="47" t="str">
        <f t="shared" ca="1" si="68"/>
        <v/>
      </c>
      <c r="X115" s="56">
        <f t="shared" si="69"/>
        <v>-1</v>
      </c>
      <c r="Y115" s="57" t="str">
        <f t="shared" si="70"/>
        <v/>
      </c>
      <c r="Z115" s="59" t="str">
        <f t="shared" si="71"/>
        <v/>
      </c>
      <c r="AA115" s="59" t="str">
        <f t="shared" si="72"/>
        <v/>
      </c>
      <c r="AB115" s="58" t="str">
        <f t="shared" si="73"/>
        <v/>
      </c>
      <c r="AC115" s="59" t="str">
        <f t="shared" si="74"/>
        <v/>
      </c>
      <c r="AD115" s="59" t="str">
        <f t="shared" si="75"/>
        <v/>
      </c>
    </row>
    <row r="116" spans="3:30" x14ac:dyDescent="0.25">
      <c r="C116" s="4" cm="1">
        <f t="array" ref="C116">IF(C115=-1,-1, IF(C115&lt;income_max_row, C115+1, IF(C115=income_max_row, income_total_row, IF(C115=income_total_row, "/1", IF(C115="/1", expenses_header_row, IF(C115&lt;expenses_max_row, C115+1, IF(C115=expenses_max_row, expenses_total_row, IF(C115=expenses_total_row, "/2", IF(C115="/2", savings_header_row, IF(C115&lt;savings_max_row, C115+1, IF(C115=savings_max_row, savings_total_row, -1)))))))))))</f>
        <v>-1</v>
      </c>
      <c r="D116" s="5">
        <f t="shared" si="57"/>
        <v>-1</v>
      </c>
      <c r="E116" s="4" cm="1">
        <f t="array" ref="E116">1*OR(row_id=income_header_row, row_id=expenses_header_row, row_id=savings_header_row)</f>
        <v>0</v>
      </c>
      <c r="F116">
        <f t="shared" si="58"/>
        <v>0</v>
      </c>
      <c r="G116" cm="1">
        <f t="array" ref="G116">1*OR(row_id=income_total_row, row_id=expenses_total_row, row_id=savings_total_row)</f>
        <v>0</v>
      </c>
      <c r="H116" s="5">
        <f t="shared" si="59"/>
        <v>1</v>
      </c>
      <c r="I116" s="4" t="str" cm="1">
        <f t="array" ref="I116">IFERROR(INDEX('Budget Planning'!$C:$C, header_row_id), "")</f>
        <v/>
      </c>
      <c r="J116" t="str" cm="1">
        <f t="array" ref="J116">IFERROR(INDEX('Budget Planning'!$C:$C, row_id), "")</f>
        <v/>
      </c>
      <c r="K116" s="52" t="str" cm="1">
        <f t="array" ref="K11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6" s="53" t="str" cm="1">
        <f t="array" ref="L116">IF(OR(is_header, is_empty), "", INDEX('Budget Planning'!$E:$EM, row_id, MATCH(IF(selected_period="Total Year", selected_year, DATE(selected_year, selected_period, 1)), 'Budget Planning'!$E$9:$EM$9, 0)))</f>
        <v/>
      </c>
      <c r="M116" s="50" t="str" cm="1">
        <f t="array" ref="M116">IF(is_category, IF(header_row_id=income_header_row, MATCH(income_min_row, $C:$C, 0), IF(header_row_id=expenses_header_row, MATCH(expenses_min_row, $C:$C, 0), IF(header_row_id=savings_header_row, MATCH(savings_min_row, $C:$C, 0), ""))), "")</f>
        <v/>
      </c>
      <c r="N116" s="51" t="str" cm="1">
        <f t="array" ref="N116">IF(is_category, IF(header_row_id=income_header_row, MATCH(income_max_row, $C:$C, 0), IF(header_row_id=expenses_header_row, MATCH(expenses_max_row, $C:$C, 0), IF(header_row_id=savings_header_row, MATCH(savings_max_row, $C:$C, 0), ""))), "")</f>
        <v/>
      </c>
      <c r="O116" s="50" t="str">
        <f t="shared" si="60"/>
        <v/>
      </c>
      <c r="P116" s="49" t="str">
        <f t="shared" ca="1" si="61"/>
        <v/>
      </c>
      <c r="Q116" s="49" t="str">
        <f t="shared" si="62"/>
        <v/>
      </c>
      <c r="R116" s="51" t="str">
        <f t="shared" ca="1" si="63"/>
        <v/>
      </c>
      <c r="S116" s="50" t="str">
        <f t="shared" si="64"/>
        <v/>
      </c>
      <c r="T116" s="49" t="str">
        <f t="shared" si="65"/>
        <v/>
      </c>
      <c r="U116" s="49" t="str">
        <f t="shared" ca="1" si="66"/>
        <v/>
      </c>
      <c r="V116" s="49" t="str">
        <f t="shared" si="67"/>
        <v/>
      </c>
      <c r="W116" s="47" t="str">
        <f t="shared" ca="1" si="68"/>
        <v/>
      </c>
      <c r="X116" s="56">
        <f t="shared" si="69"/>
        <v>-1</v>
      </c>
      <c r="Y116" s="57" t="str">
        <f t="shared" si="70"/>
        <v/>
      </c>
      <c r="Z116" s="59" t="str">
        <f t="shared" si="71"/>
        <v/>
      </c>
      <c r="AA116" s="59" t="str">
        <f t="shared" si="72"/>
        <v/>
      </c>
      <c r="AB116" s="58" t="str">
        <f t="shared" si="73"/>
        <v/>
      </c>
      <c r="AC116" s="59" t="str">
        <f t="shared" si="74"/>
        <v/>
      </c>
      <c r="AD116" s="59" t="str">
        <f t="shared" si="75"/>
        <v/>
      </c>
    </row>
    <row r="117" spans="3:30" x14ac:dyDescent="0.25">
      <c r="C117" s="4" cm="1">
        <f t="array" ref="C117">IF(C116=-1,-1, IF(C116&lt;income_max_row, C116+1, IF(C116=income_max_row, income_total_row, IF(C116=income_total_row, "/1", IF(C116="/1", expenses_header_row, IF(C116&lt;expenses_max_row, C116+1, IF(C116=expenses_max_row, expenses_total_row, IF(C116=expenses_total_row, "/2", IF(C116="/2", savings_header_row, IF(C116&lt;savings_max_row, C116+1, IF(C116=savings_max_row, savings_total_row, -1)))))))))))</f>
        <v>-1</v>
      </c>
      <c r="D117" s="5">
        <f t="shared" si="57"/>
        <v>-1</v>
      </c>
      <c r="E117" s="4" cm="1">
        <f t="array" ref="E117">1*OR(row_id=income_header_row, row_id=expenses_header_row, row_id=savings_header_row)</f>
        <v>0</v>
      </c>
      <c r="F117">
        <f t="shared" si="58"/>
        <v>0</v>
      </c>
      <c r="G117" cm="1">
        <f t="array" ref="G117">1*OR(row_id=income_total_row, row_id=expenses_total_row, row_id=savings_total_row)</f>
        <v>0</v>
      </c>
      <c r="H117" s="5">
        <f t="shared" si="59"/>
        <v>1</v>
      </c>
      <c r="I117" s="4" t="str" cm="1">
        <f t="array" ref="I117">IFERROR(INDEX('Budget Planning'!$C:$C, header_row_id), "")</f>
        <v/>
      </c>
      <c r="J117" t="str" cm="1">
        <f t="array" ref="J117">IFERROR(INDEX('Budget Planning'!$C:$C, row_id), "")</f>
        <v/>
      </c>
      <c r="K117" s="52" t="str" cm="1">
        <f t="array" ref="K11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7" s="53" t="str" cm="1">
        <f t="array" ref="L117">IF(OR(is_header, is_empty), "", INDEX('Budget Planning'!$E:$EM, row_id, MATCH(IF(selected_period="Total Year", selected_year, DATE(selected_year, selected_period, 1)), 'Budget Planning'!$E$9:$EM$9, 0)))</f>
        <v/>
      </c>
      <c r="M117" s="50" t="str" cm="1">
        <f t="array" ref="M117">IF(is_category, IF(header_row_id=income_header_row, MATCH(income_min_row, $C:$C, 0), IF(header_row_id=expenses_header_row, MATCH(expenses_min_row, $C:$C, 0), IF(header_row_id=savings_header_row, MATCH(savings_min_row, $C:$C, 0), ""))), "")</f>
        <v/>
      </c>
      <c r="N117" s="51" t="str" cm="1">
        <f t="array" ref="N117">IF(is_category, IF(header_row_id=income_header_row, MATCH(income_max_row, $C:$C, 0), IF(header_row_id=expenses_header_row, MATCH(expenses_max_row, $C:$C, 0), IF(header_row_id=savings_header_row, MATCH(savings_max_row, $C:$C, 0), ""))), "")</f>
        <v/>
      </c>
      <c r="O117" s="50" t="str">
        <f t="shared" si="60"/>
        <v/>
      </c>
      <c r="P117" s="49" t="str">
        <f t="shared" ca="1" si="61"/>
        <v/>
      </c>
      <c r="Q117" s="49" t="str">
        <f t="shared" si="62"/>
        <v/>
      </c>
      <c r="R117" s="51" t="str">
        <f t="shared" ca="1" si="63"/>
        <v/>
      </c>
      <c r="S117" s="50" t="str">
        <f t="shared" si="64"/>
        <v/>
      </c>
      <c r="T117" s="49" t="str">
        <f t="shared" si="65"/>
        <v/>
      </c>
      <c r="U117" s="49" t="str">
        <f t="shared" ca="1" si="66"/>
        <v/>
      </c>
      <c r="V117" s="49" t="str">
        <f t="shared" si="67"/>
        <v/>
      </c>
      <c r="W117" s="47" t="str">
        <f t="shared" ca="1" si="68"/>
        <v/>
      </c>
      <c r="X117" s="56">
        <f t="shared" si="69"/>
        <v>-1</v>
      </c>
      <c r="Y117" s="57" t="str">
        <f t="shared" si="70"/>
        <v/>
      </c>
      <c r="Z117" s="59" t="str">
        <f t="shared" si="71"/>
        <v/>
      </c>
      <c r="AA117" s="59" t="str">
        <f t="shared" si="72"/>
        <v/>
      </c>
      <c r="AB117" s="58" t="str">
        <f t="shared" si="73"/>
        <v/>
      </c>
      <c r="AC117" s="59" t="str">
        <f t="shared" si="74"/>
        <v/>
      </c>
      <c r="AD117" s="59" t="str">
        <f t="shared" si="75"/>
        <v/>
      </c>
    </row>
    <row r="118" spans="3:30" x14ac:dyDescent="0.25">
      <c r="C118" s="4" cm="1">
        <f t="array" ref="C118">IF(C117=-1,-1, IF(C117&lt;income_max_row, C117+1, IF(C117=income_max_row, income_total_row, IF(C117=income_total_row, "/1", IF(C117="/1", expenses_header_row, IF(C117&lt;expenses_max_row, C117+1, IF(C117=expenses_max_row, expenses_total_row, IF(C117=expenses_total_row, "/2", IF(C117="/2", savings_header_row, IF(C117&lt;savings_max_row, C117+1, IF(C117=savings_max_row, savings_total_row, -1)))))))))))</f>
        <v>-1</v>
      </c>
      <c r="D118" s="5">
        <f t="shared" si="57"/>
        <v>-1</v>
      </c>
      <c r="E118" s="4" cm="1">
        <f t="array" ref="E118">1*OR(row_id=income_header_row, row_id=expenses_header_row, row_id=savings_header_row)</f>
        <v>0</v>
      </c>
      <c r="F118">
        <f t="shared" si="58"/>
        <v>0</v>
      </c>
      <c r="G118" cm="1">
        <f t="array" ref="G118">1*OR(row_id=income_total_row, row_id=expenses_total_row, row_id=savings_total_row)</f>
        <v>0</v>
      </c>
      <c r="H118" s="5">
        <f t="shared" si="59"/>
        <v>1</v>
      </c>
      <c r="I118" s="4" t="str" cm="1">
        <f t="array" ref="I118">IFERROR(INDEX('Budget Planning'!$C:$C, header_row_id), "")</f>
        <v/>
      </c>
      <c r="J118" t="str" cm="1">
        <f t="array" ref="J118">IFERROR(INDEX('Budget Planning'!$C:$C, row_id), "")</f>
        <v/>
      </c>
      <c r="K118" s="52" t="str" cm="1">
        <f t="array" ref="K11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8" s="53" t="str" cm="1">
        <f t="array" ref="L118">IF(OR(is_header, is_empty), "", INDEX('Budget Planning'!$E:$EM, row_id, MATCH(IF(selected_period="Total Year", selected_year, DATE(selected_year, selected_period, 1)), 'Budget Planning'!$E$9:$EM$9, 0)))</f>
        <v/>
      </c>
      <c r="M118" s="50" t="str" cm="1">
        <f t="array" ref="M118">IF(is_category, IF(header_row_id=income_header_row, MATCH(income_min_row, $C:$C, 0), IF(header_row_id=expenses_header_row, MATCH(expenses_min_row, $C:$C, 0), IF(header_row_id=savings_header_row, MATCH(savings_min_row, $C:$C, 0), ""))), "")</f>
        <v/>
      </c>
      <c r="N118" s="51" t="str" cm="1">
        <f t="array" ref="N118">IF(is_category, IF(header_row_id=income_header_row, MATCH(income_max_row, $C:$C, 0), IF(header_row_id=expenses_header_row, MATCH(expenses_max_row, $C:$C, 0), IF(header_row_id=savings_header_row, MATCH(savings_max_row, $C:$C, 0), ""))), "")</f>
        <v/>
      </c>
      <c r="O118" s="50" t="str">
        <f t="shared" si="60"/>
        <v/>
      </c>
      <c r="P118" s="49" t="str">
        <f t="shared" ca="1" si="61"/>
        <v/>
      </c>
      <c r="Q118" s="49" t="str">
        <f t="shared" si="62"/>
        <v/>
      </c>
      <c r="R118" s="51" t="str">
        <f t="shared" ca="1" si="63"/>
        <v/>
      </c>
      <c r="S118" s="50" t="str">
        <f t="shared" si="64"/>
        <v/>
      </c>
      <c r="T118" s="49" t="str">
        <f t="shared" si="65"/>
        <v/>
      </c>
      <c r="U118" s="49" t="str">
        <f t="shared" ca="1" si="66"/>
        <v/>
      </c>
      <c r="V118" s="49" t="str">
        <f t="shared" si="67"/>
        <v/>
      </c>
      <c r="W118" s="47" t="str">
        <f t="shared" ca="1" si="68"/>
        <v/>
      </c>
      <c r="X118" s="56">
        <f t="shared" si="69"/>
        <v>-1</v>
      </c>
      <c r="Y118" s="57" t="str">
        <f t="shared" si="70"/>
        <v/>
      </c>
      <c r="Z118" s="59" t="str">
        <f t="shared" si="71"/>
        <v/>
      </c>
      <c r="AA118" s="59" t="str">
        <f t="shared" si="72"/>
        <v/>
      </c>
      <c r="AB118" s="58" t="str">
        <f t="shared" si="73"/>
        <v/>
      </c>
      <c r="AC118" s="59" t="str">
        <f t="shared" si="74"/>
        <v/>
      </c>
      <c r="AD118" s="59" t="str">
        <f t="shared" si="75"/>
        <v/>
      </c>
    </row>
    <row r="119" spans="3:30" x14ac:dyDescent="0.25">
      <c r="C119" s="4" cm="1">
        <f t="array" ref="C119">IF(C118=-1,-1, IF(C118&lt;income_max_row, C118+1, IF(C118=income_max_row, income_total_row, IF(C118=income_total_row, "/1", IF(C118="/1", expenses_header_row, IF(C118&lt;expenses_max_row, C118+1, IF(C118=expenses_max_row, expenses_total_row, IF(C118=expenses_total_row, "/2", IF(C118="/2", savings_header_row, IF(C118&lt;savings_max_row, C118+1, IF(C118=savings_max_row, savings_total_row, -1)))))))))))</f>
        <v>-1</v>
      </c>
      <c r="D119" s="5">
        <f t="shared" si="57"/>
        <v>-1</v>
      </c>
      <c r="E119" s="4" cm="1">
        <f t="array" ref="E119">1*OR(row_id=income_header_row, row_id=expenses_header_row, row_id=savings_header_row)</f>
        <v>0</v>
      </c>
      <c r="F119">
        <f t="shared" si="58"/>
        <v>0</v>
      </c>
      <c r="G119" cm="1">
        <f t="array" ref="G119">1*OR(row_id=income_total_row, row_id=expenses_total_row, row_id=savings_total_row)</f>
        <v>0</v>
      </c>
      <c r="H119" s="5">
        <f t="shared" si="59"/>
        <v>1</v>
      </c>
      <c r="I119" s="4" t="str" cm="1">
        <f t="array" ref="I119">IFERROR(INDEX('Budget Planning'!$C:$C, header_row_id), "")</f>
        <v/>
      </c>
      <c r="J119" t="str" cm="1">
        <f t="array" ref="J119">IFERROR(INDEX('Budget Planning'!$C:$C, row_id), "")</f>
        <v/>
      </c>
      <c r="K119" s="52" t="str" cm="1">
        <f t="array" ref="K11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19" s="53" t="str" cm="1">
        <f t="array" ref="L119">IF(OR(is_header, is_empty), "", INDEX('Budget Planning'!$E:$EM, row_id, MATCH(IF(selected_period="Total Year", selected_year, DATE(selected_year, selected_period, 1)), 'Budget Planning'!$E$9:$EM$9, 0)))</f>
        <v/>
      </c>
      <c r="M119" s="50" t="str" cm="1">
        <f t="array" ref="M119">IF(is_category, IF(header_row_id=income_header_row, MATCH(income_min_row, $C:$C, 0), IF(header_row_id=expenses_header_row, MATCH(expenses_min_row, $C:$C, 0), IF(header_row_id=savings_header_row, MATCH(savings_min_row, $C:$C, 0), ""))), "")</f>
        <v/>
      </c>
      <c r="N119" s="51" t="str" cm="1">
        <f t="array" ref="N119">IF(is_category, IF(header_row_id=income_header_row, MATCH(income_max_row, $C:$C, 0), IF(header_row_id=expenses_header_row, MATCH(expenses_max_row, $C:$C, 0), IF(header_row_id=savings_header_row, MATCH(savings_max_row, $C:$C, 0), ""))), "")</f>
        <v/>
      </c>
      <c r="O119" s="50" t="str">
        <f t="shared" si="60"/>
        <v/>
      </c>
      <c r="P119" s="49" t="str">
        <f t="shared" ca="1" si="61"/>
        <v/>
      </c>
      <c r="Q119" s="49" t="str">
        <f t="shared" si="62"/>
        <v/>
      </c>
      <c r="R119" s="51" t="str">
        <f t="shared" ca="1" si="63"/>
        <v/>
      </c>
      <c r="S119" s="50" t="str">
        <f t="shared" si="64"/>
        <v/>
      </c>
      <c r="T119" s="49" t="str">
        <f t="shared" si="65"/>
        <v/>
      </c>
      <c r="U119" s="49" t="str">
        <f t="shared" ca="1" si="66"/>
        <v/>
      </c>
      <c r="V119" s="49" t="str">
        <f t="shared" si="67"/>
        <v/>
      </c>
      <c r="W119" s="47" t="str">
        <f t="shared" ca="1" si="68"/>
        <v/>
      </c>
      <c r="X119" s="56">
        <f t="shared" si="69"/>
        <v>-1</v>
      </c>
      <c r="Y119" s="57" t="str">
        <f t="shared" si="70"/>
        <v/>
      </c>
      <c r="Z119" s="59" t="str">
        <f t="shared" si="71"/>
        <v/>
      </c>
      <c r="AA119" s="59" t="str">
        <f t="shared" si="72"/>
        <v/>
      </c>
      <c r="AB119" s="58" t="str">
        <f t="shared" si="73"/>
        <v/>
      </c>
      <c r="AC119" s="59" t="str">
        <f t="shared" si="74"/>
        <v/>
      </c>
      <c r="AD119" s="59" t="str">
        <f t="shared" si="75"/>
        <v/>
      </c>
    </row>
    <row r="120" spans="3:30" x14ac:dyDescent="0.25">
      <c r="C120" s="4" cm="1">
        <f t="array" ref="C120">IF(C119=-1,-1, IF(C119&lt;income_max_row, C119+1, IF(C119=income_max_row, income_total_row, IF(C119=income_total_row, "/1", IF(C119="/1", expenses_header_row, IF(C119&lt;expenses_max_row, C119+1, IF(C119=expenses_max_row, expenses_total_row, IF(C119=expenses_total_row, "/2", IF(C119="/2", savings_header_row, IF(C119&lt;savings_max_row, C119+1, IF(C119=savings_max_row, savings_total_row, -1)))))))))))</f>
        <v>-1</v>
      </c>
      <c r="D120" s="5">
        <f t="shared" si="57"/>
        <v>-1</v>
      </c>
      <c r="E120" s="4" cm="1">
        <f t="array" ref="E120">1*OR(row_id=income_header_row, row_id=expenses_header_row, row_id=savings_header_row)</f>
        <v>0</v>
      </c>
      <c r="F120">
        <f t="shared" si="58"/>
        <v>0</v>
      </c>
      <c r="G120" cm="1">
        <f t="array" ref="G120">1*OR(row_id=income_total_row, row_id=expenses_total_row, row_id=savings_total_row)</f>
        <v>0</v>
      </c>
      <c r="H120" s="5">
        <f t="shared" si="59"/>
        <v>1</v>
      </c>
      <c r="I120" s="4" t="str" cm="1">
        <f t="array" ref="I120">IFERROR(INDEX('Budget Planning'!$C:$C, header_row_id), "")</f>
        <v/>
      </c>
      <c r="J120" t="str" cm="1">
        <f t="array" ref="J120">IFERROR(INDEX('Budget Planning'!$C:$C, row_id), "")</f>
        <v/>
      </c>
      <c r="K120" s="52" t="str" cm="1">
        <f t="array" ref="K12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0" s="53" t="str" cm="1">
        <f t="array" ref="L120">IF(OR(is_header, is_empty), "", INDEX('Budget Planning'!$E:$EM, row_id, MATCH(IF(selected_period="Total Year", selected_year, DATE(selected_year, selected_period, 1)), 'Budget Planning'!$E$9:$EM$9, 0)))</f>
        <v/>
      </c>
      <c r="M120" s="50" t="str" cm="1">
        <f t="array" ref="M120">IF(is_category, IF(header_row_id=income_header_row, MATCH(income_min_row, $C:$C, 0), IF(header_row_id=expenses_header_row, MATCH(expenses_min_row, $C:$C, 0), IF(header_row_id=savings_header_row, MATCH(savings_min_row, $C:$C, 0), ""))), "")</f>
        <v/>
      </c>
      <c r="N120" s="51" t="str" cm="1">
        <f t="array" ref="N120">IF(is_category, IF(header_row_id=income_header_row, MATCH(income_max_row, $C:$C, 0), IF(header_row_id=expenses_header_row, MATCH(expenses_max_row, $C:$C, 0), IF(header_row_id=savings_header_row, MATCH(savings_max_row, $C:$C, 0), ""))), "")</f>
        <v/>
      </c>
      <c r="O120" s="50" t="str">
        <f t="shared" si="60"/>
        <v/>
      </c>
      <c r="P120" s="49" t="str">
        <f t="shared" ca="1" si="61"/>
        <v/>
      </c>
      <c r="Q120" s="49" t="str">
        <f t="shared" si="62"/>
        <v/>
      </c>
      <c r="R120" s="51" t="str">
        <f t="shared" ca="1" si="63"/>
        <v/>
      </c>
      <c r="S120" s="50" t="str">
        <f t="shared" si="64"/>
        <v/>
      </c>
      <c r="T120" s="49" t="str">
        <f t="shared" si="65"/>
        <v/>
      </c>
      <c r="U120" s="49" t="str">
        <f t="shared" ca="1" si="66"/>
        <v/>
      </c>
      <c r="V120" s="49" t="str">
        <f t="shared" si="67"/>
        <v/>
      </c>
      <c r="W120" s="47" t="str">
        <f t="shared" ca="1" si="68"/>
        <v/>
      </c>
      <c r="X120" s="56">
        <f t="shared" si="69"/>
        <v>-1</v>
      </c>
      <c r="Y120" s="57" t="str">
        <f t="shared" si="70"/>
        <v/>
      </c>
      <c r="Z120" s="59" t="str">
        <f t="shared" si="71"/>
        <v/>
      </c>
      <c r="AA120" s="59" t="str">
        <f t="shared" si="72"/>
        <v/>
      </c>
      <c r="AB120" s="58" t="str">
        <f t="shared" si="73"/>
        <v/>
      </c>
      <c r="AC120" s="59" t="str">
        <f t="shared" si="74"/>
        <v/>
      </c>
      <c r="AD120" s="59" t="str">
        <f t="shared" si="75"/>
        <v/>
      </c>
    </row>
    <row r="121" spans="3:30" x14ac:dyDescent="0.25">
      <c r="C121" s="4" cm="1">
        <f t="array" ref="C121">IF(C120=-1,-1, IF(C120&lt;income_max_row, C120+1, IF(C120=income_max_row, income_total_row, IF(C120=income_total_row, "/1", IF(C120="/1", expenses_header_row, IF(C120&lt;expenses_max_row, C120+1, IF(C120=expenses_max_row, expenses_total_row, IF(C120=expenses_total_row, "/2", IF(C120="/2", savings_header_row, IF(C120&lt;savings_max_row, C120+1, IF(C120=savings_max_row, savings_total_row, -1)))))))))))</f>
        <v>-1</v>
      </c>
      <c r="D121" s="5">
        <f t="shared" si="57"/>
        <v>-1</v>
      </c>
      <c r="E121" s="4" cm="1">
        <f t="array" ref="E121">1*OR(row_id=income_header_row, row_id=expenses_header_row, row_id=savings_header_row)</f>
        <v>0</v>
      </c>
      <c r="F121">
        <f t="shared" si="58"/>
        <v>0</v>
      </c>
      <c r="G121" cm="1">
        <f t="array" ref="G121">1*OR(row_id=income_total_row, row_id=expenses_total_row, row_id=savings_total_row)</f>
        <v>0</v>
      </c>
      <c r="H121" s="5">
        <f t="shared" si="59"/>
        <v>1</v>
      </c>
      <c r="I121" s="4" t="str" cm="1">
        <f t="array" ref="I121">IFERROR(INDEX('Budget Planning'!$C:$C, header_row_id), "")</f>
        <v/>
      </c>
      <c r="J121" t="str" cm="1">
        <f t="array" ref="J121">IFERROR(INDEX('Budget Planning'!$C:$C, row_id), "")</f>
        <v/>
      </c>
      <c r="K121" s="52" t="str" cm="1">
        <f t="array" ref="K12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1" s="53" t="str" cm="1">
        <f t="array" ref="L121">IF(OR(is_header, is_empty), "", INDEX('Budget Planning'!$E:$EM, row_id, MATCH(IF(selected_period="Total Year", selected_year, DATE(selected_year, selected_period, 1)), 'Budget Planning'!$E$9:$EM$9, 0)))</f>
        <v/>
      </c>
      <c r="M121" s="50" t="str" cm="1">
        <f t="array" ref="M121">IF(is_category, IF(header_row_id=income_header_row, MATCH(income_min_row, $C:$C, 0), IF(header_row_id=expenses_header_row, MATCH(expenses_min_row, $C:$C, 0), IF(header_row_id=savings_header_row, MATCH(savings_min_row, $C:$C, 0), ""))), "")</f>
        <v/>
      </c>
      <c r="N121" s="51" t="str" cm="1">
        <f t="array" ref="N121">IF(is_category, IF(header_row_id=income_header_row, MATCH(income_max_row, $C:$C, 0), IF(header_row_id=expenses_header_row, MATCH(expenses_max_row, $C:$C, 0), IF(header_row_id=savings_header_row, MATCH(savings_max_row, $C:$C, 0), ""))), "")</f>
        <v/>
      </c>
      <c r="O121" s="50" t="str">
        <f t="shared" si="60"/>
        <v/>
      </c>
      <c r="P121" s="49" t="str">
        <f t="shared" ca="1" si="61"/>
        <v/>
      </c>
      <c r="Q121" s="49" t="str">
        <f t="shared" si="62"/>
        <v/>
      </c>
      <c r="R121" s="51" t="str">
        <f t="shared" ca="1" si="63"/>
        <v/>
      </c>
      <c r="S121" s="50" t="str">
        <f t="shared" si="64"/>
        <v/>
      </c>
      <c r="T121" s="49" t="str">
        <f t="shared" si="65"/>
        <v/>
      </c>
      <c r="U121" s="49" t="str">
        <f t="shared" ca="1" si="66"/>
        <v/>
      </c>
      <c r="V121" s="49" t="str">
        <f t="shared" si="67"/>
        <v/>
      </c>
      <c r="W121" s="47" t="str">
        <f t="shared" ca="1" si="68"/>
        <v/>
      </c>
      <c r="X121" s="56">
        <f t="shared" si="69"/>
        <v>-1</v>
      </c>
      <c r="Y121" s="57" t="str">
        <f t="shared" si="70"/>
        <v/>
      </c>
      <c r="Z121" s="59" t="str">
        <f t="shared" si="71"/>
        <v/>
      </c>
      <c r="AA121" s="59" t="str">
        <f t="shared" si="72"/>
        <v/>
      </c>
      <c r="AB121" s="58" t="str">
        <f t="shared" si="73"/>
        <v/>
      </c>
      <c r="AC121" s="59" t="str">
        <f t="shared" si="74"/>
        <v/>
      </c>
      <c r="AD121" s="59" t="str">
        <f t="shared" si="75"/>
        <v/>
      </c>
    </row>
    <row r="122" spans="3:30" x14ac:dyDescent="0.25">
      <c r="C122" s="4" cm="1">
        <f t="array" ref="C122">IF(C121=-1,-1, IF(C121&lt;income_max_row, C121+1, IF(C121=income_max_row, income_total_row, IF(C121=income_total_row, "/1", IF(C121="/1", expenses_header_row, IF(C121&lt;expenses_max_row, C121+1, IF(C121=expenses_max_row, expenses_total_row, IF(C121=expenses_total_row, "/2", IF(C121="/2", savings_header_row, IF(C121&lt;savings_max_row, C121+1, IF(C121=savings_max_row, savings_total_row, -1)))))))))))</f>
        <v>-1</v>
      </c>
      <c r="D122" s="5">
        <f t="shared" si="57"/>
        <v>-1</v>
      </c>
      <c r="E122" s="4" cm="1">
        <f t="array" ref="E122">1*OR(row_id=income_header_row, row_id=expenses_header_row, row_id=savings_header_row)</f>
        <v>0</v>
      </c>
      <c r="F122">
        <f t="shared" si="58"/>
        <v>0</v>
      </c>
      <c r="G122" cm="1">
        <f t="array" ref="G122">1*OR(row_id=income_total_row, row_id=expenses_total_row, row_id=savings_total_row)</f>
        <v>0</v>
      </c>
      <c r="H122" s="5">
        <f t="shared" si="59"/>
        <v>1</v>
      </c>
      <c r="I122" s="4" t="str" cm="1">
        <f t="array" ref="I122">IFERROR(INDEX('Budget Planning'!$C:$C, header_row_id), "")</f>
        <v/>
      </c>
      <c r="J122" t="str" cm="1">
        <f t="array" ref="J122">IFERROR(INDEX('Budget Planning'!$C:$C, row_id), "")</f>
        <v/>
      </c>
      <c r="K122" s="52" t="str" cm="1">
        <f t="array" ref="K12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2" s="53" t="str" cm="1">
        <f t="array" ref="L122">IF(OR(is_header, is_empty), "", INDEX('Budget Planning'!$E:$EM, row_id, MATCH(IF(selected_period="Total Year", selected_year, DATE(selected_year, selected_period, 1)), 'Budget Planning'!$E$9:$EM$9, 0)))</f>
        <v/>
      </c>
      <c r="M122" s="50" t="str" cm="1">
        <f t="array" ref="M122">IF(is_category, IF(header_row_id=income_header_row, MATCH(income_min_row, $C:$C, 0), IF(header_row_id=expenses_header_row, MATCH(expenses_min_row, $C:$C, 0), IF(header_row_id=savings_header_row, MATCH(savings_min_row, $C:$C, 0), ""))), "")</f>
        <v/>
      </c>
      <c r="N122" s="51" t="str" cm="1">
        <f t="array" ref="N122">IF(is_category, IF(header_row_id=income_header_row, MATCH(income_max_row, $C:$C, 0), IF(header_row_id=expenses_header_row, MATCH(expenses_max_row, $C:$C, 0), IF(header_row_id=savings_header_row, MATCH(savings_max_row, $C:$C, 0), ""))), "")</f>
        <v/>
      </c>
      <c r="O122" s="50" t="str">
        <f t="shared" si="60"/>
        <v/>
      </c>
      <c r="P122" s="49" t="str">
        <f t="shared" ca="1" si="61"/>
        <v/>
      </c>
      <c r="Q122" s="49" t="str">
        <f t="shared" si="62"/>
        <v/>
      </c>
      <c r="R122" s="51" t="str">
        <f t="shared" ca="1" si="63"/>
        <v/>
      </c>
      <c r="S122" s="50" t="str">
        <f t="shared" si="64"/>
        <v/>
      </c>
      <c r="T122" s="49" t="str">
        <f t="shared" si="65"/>
        <v/>
      </c>
      <c r="U122" s="49" t="str">
        <f t="shared" ca="1" si="66"/>
        <v/>
      </c>
      <c r="V122" s="49" t="str">
        <f t="shared" si="67"/>
        <v/>
      </c>
      <c r="W122" s="47" t="str">
        <f t="shared" ca="1" si="68"/>
        <v/>
      </c>
      <c r="X122" s="56">
        <f t="shared" si="69"/>
        <v>-1</v>
      </c>
      <c r="Y122" s="57" t="str">
        <f t="shared" si="70"/>
        <v/>
      </c>
      <c r="Z122" s="59" t="str">
        <f t="shared" si="71"/>
        <v/>
      </c>
      <c r="AA122" s="59" t="str">
        <f t="shared" si="72"/>
        <v/>
      </c>
      <c r="AB122" s="58" t="str">
        <f t="shared" si="73"/>
        <v/>
      </c>
      <c r="AC122" s="59" t="str">
        <f t="shared" si="74"/>
        <v/>
      </c>
      <c r="AD122" s="59" t="str">
        <f t="shared" si="75"/>
        <v/>
      </c>
    </row>
    <row r="123" spans="3:30" x14ac:dyDescent="0.25">
      <c r="C123" s="4" cm="1">
        <f t="array" ref="C123">IF(C122=-1,-1, IF(C122&lt;income_max_row, C122+1, IF(C122=income_max_row, income_total_row, IF(C122=income_total_row, "/1", IF(C122="/1", expenses_header_row, IF(C122&lt;expenses_max_row, C122+1, IF(C122=expenses_max_row, expenses_total_row, IF(C122=expenses_total_row, "/2", IF(C122="/2", savings_header_row, IF(C122&lt;savings_max_row, C122+1, IF(C122=savings_max_row, savings_total_row, -1)))))))))))</f>
        <v>-1</v>
      </c>
      <c r="D123" s="5">
        <f t="shared" si="57"/>
        <v>-1</v>
      </c>
      <c r="E123" s="4" cm="1">
        <f t="array" ref="E123">1*OR(row_id=income_header_row, row_id=expenses_header_row, row_id=savings_header_row)</f>
        <v>0</v>
      </c>
      <c r="F123">
        <f t="shared" si="58"/>
        <v>0</v>
      </c>
      <c r="G123" cm="1">
        <f t="array" ref="G123">1*OR(row_id=income_total_row, row_id=expenses_total_row, row_id=savings_total_row)</f>
        <v>0</v>
      </c>
      <c r="H123" s="5">
        <f t="shared" si="59"/>
        <v>1</v>
      </c>
      <c r="I123" s="4" t="str" cm="1">
        <f t="array" ref="I123">IFERROR(INDEX('Budget Planning'!$C:$C, header_row_id), "")</f>
        <v/>
      </c>
      <c r="J123" t="str" cm="1">
        <f t="array" ref="J123">IFERROR(INDEX('Budget Planning'!$C:$C, row_id), "")</f>
        <v/>
      </c>
      <c r="K123" s="52" t="str" cm="1">
        <f t="array" ref="K12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3" s="53" t="str" cm="1">
        <f t="array" ref="L123">IF(OR(is_header, is_empty), "", INDEX('Budget Planning'!$E:$EM, row_id, MATCH(IF(selected_period="Total Year", selected_year, DATE(selected_year, selected_period, 1)), 'Budget Planning'!$E$9:$EM$9, 0)))</f>
        <v/>
      </c>
      <c r="M123" s="50" t="str" cm="1">
        <f t="array" ref="M123">IF(is_category, IF(header_row_id=income_header_row, MATCH(income_min_row, $C:$C, 0), IF(header_row_id=expenses_header_row, MATCH(expenses_min_row, $C:$C, 0), IF(header_row_id=savings_header_row, MATCH(savings_min_row, $C:$C, 0), ""))), "")</f>
        <v/>
      </c>
      <c r="N123" s="51" t="str" cm="1">
        <f t="array" ref="N123">IF(is_category, IF(header_row_id=income_header_row, MATCH(income_max_row, $C:$C, 0), IF(header_row_id=expenses_header_row, MATCH(expenses_max_row, $C:$C, 0), IF(header_row_id=savings_header_row, MATCH(savings_max_row, $C:$C, 0), ""))), "")</f>
        <v/>
      </c>
      <c r="O123" s="50" t="str">
        <f t="shared" si="60"/>
        <v/>
      </c>
      <c r="P123" s="49" t="str">
        <f t="shared" ca="1" si="61"/>
        <v/>
      </c>
      <c r="Q123" s="49" t="str">
        <f t="shared" si="62"/>
        <v/>
      </c>
      <c r="R123" s="51" t="str">
        <f t="shared" ca="1" si="63"/>
        <v/>
      </c>
      <c r="S123" s="50" t="str">
        <f t="shared" si="64"/>
        <v/>
      </c>
      <c r="T123" s="49" t="str">
        <f t="shared" si="65"/>
        <v/>
      </c>
      <c r="U123" s="49" t="str">
        <f t="shared" ca="1" si="66"/>
        <v/>
      </c>
      <c r="V123" s="49" t="str">
        <f t="shared" si="67"/>
        <v/>
      </c>
      <c r="W123" s="47" t="str">
        <f t="shared" ca="1" si="68"/>
        <v/>
      </c>
      <c r="X123" s="56">
        <f t="shared" si="69"/>
        <v>-1</v>
      </c>
      <c r="Y123" s="57" t="str">
        <f t="shared" si="70"/>
        <v/>
      </c>
      <c r="Z123" s="59" t="str">
        <f t="shared" si="71"/>
        <v/>
      </c>
      <c r="AA123" s="59" t="str">
        <f t="shared" si="72"/>
        <v/>
      </c>
      <c r="AB123" s="58" t="str">
        <f t="shared" si="73"/>
        <v/>
      </c>
      <c r="AC123" s="59" t="str">
        <f t="shared" si="74"/>
        <v/>
      </c>
      <c r="AD123" s="59" t="str">
        <f t="shared" si="75"/>
        <v/>
      </c>
    </row>
    <row r="124" spans="3:30" x14ac:dyDescent="0.25">
      <c r="C124" s="4" cm="1">
        <f t="array" ref="C124">IF(C123=-1,-1, IF(C123&lt;income_max_row, C123+1, IF(C123=income_max_row, income_total_row, IF(C123=income_total_row, "/1", IF(C123="/1", expenses_header_row, IF(C123&lt;expenses_max_row, C123+1, IF(C123=expenses_max_row, expenses_total_row, IF(C123=expenses_total_row, "/2", IF(C123="/2", savings_header_row, IF(C123&lt;savings_max_row, C123+1, IF(C123=savings_max_row, savings_total_row, -1)))))))))))</f>
        <v>-1</v>
      </c>
      <c r="D124" s="5">
        <f t="shared" si="57"/>
        <v>-1</v>
      </c>
      <c r="E124" s="4" cm="1">
        <f t="array" ref="E124">1*OR(row_id=income_header_row, row_id=expenses_header_row, row_id=savings_header_row)</f>
        <v>0</v>
      </c>
      <c r="F124">
        <f t="shared" si="58"/>
        <v>0</v>
      </c>
      <c r="G124" cm="1">
        <f t="array" ref="G124">1*OR(row_id=income_total_row, row_id=expenses_total_row, row_id=savings_total_row)</f>
        <v>0</v>
      </c>
      <c r="H124" s="5">
        <f t="shared" si="59"/>
        <v>1</v>
      </c>
      <c r="I124" s="4" t="str" cm="1">
        <f t="array" ref="I124">IFERROR(INDEX('Budget Planning'!$C:$C, header_row_id), "")</f>
        <v/>
      </c>
      <c r="J124" t="str" cm="1">
        <f t="array" ref="J124">IFERROR(INDEX('Budget Planning'!$C:$C, row_id), "")</f>
        <v/>
      </c>
      <c r="K124" s="52" t="str" cm="1">
        <f t="array" ref="K12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4" s="53" t="str" cm="1">
        <f t="array" ref="L124">IF(OR(is_header, is_empty), "", INDEX('Budget Planning'!$E:$EM, row_id, MATCH(IF(selected_period="Total Year", selected_year, DATE(selected_year, selected_period, 1)), 'Budget Planning'!$E$9:$EM$9, 0)))</f>
        <v/>
      </c>
      <c r="M124" s="50" t="str" cm="1">
        <f t="array" ref="M124">IF(is_category, IF(header_row_id=income_header_row, MATCH(income_min_row, $C:$C, 0), IF(header_row_id=expenses_header_row, MATCH(expenses_min_row, $C:$C, 0), IF(header_row_id=savings_header_row, MATCH(savings_min_row, $C:$C, 0), ""))), "")</f>
        <v/>
      </c>
      <c r="N124" s="51" t="str" cm="1">
        <f t="array" ref="N124">IF(is_category, IF(header_row_id=income_header_row, MATCH(income_max_row, $C:$C, 0), IF(header_row_id=expenses_header_row, MATCH(expenses_max_row, $C:$C, 0), IF(header_row_id=savings_header_row, MATCH(savings_max_row, $C:$C, 0), ""))), "")</f>
        <v/>
      </c>
      <c r="O124" s="50" t="str">
        <f t="shared" si="60"/>
        <v/>
      </c>
      <c r="P124" s="49" t="str">
        <f t="shared" ca="1" si="61"/>
        <v/>
      </c>
      <c r="Q124" s="49" t="str">
        <f t="shared" si="62"/>
        <v/>
      </c>
      <c r="R124" s="51" t="str">
        <f t="shared" ca="1" si="63"/>
        <v/>
      </c>
      <c r="S124" s="50" t="str">
        <f t="shared" si="64"/>
        <v/>
      </c>
      <c r="T124" s="49" t="str">
        <f t="shared" si="65"/>
        <v/>
      </c>
      <c r="U124" s="49" t="str">
        <f t="shared" ca="1" si="66"/>
        <v/>
      </c>
      <c r="V124" s="49" t="str">
        <f t="shared" si="67"/>
        <v/>
      </c>
      <c r="W124" s="47" t="str">
        <f t="shared" ca="1" si="68"/>
        <v/>
      </c>
      <c r="X124" s="56">
        <f t="shared" si="69"/>
        <v>-1</v>
      </c>
      <c r="Y124" s="57" t="str">
        <f t="shared" si="70"/>
        <v/>
      </c>
      <c r="Z124" s="59" t="str">
        <f t="shared" si="71"/>
        <v/>
      </c>
      <c r="AA124" s="59" t="str">
        <f t="shared" si="72"/>
        <v/>
      </c>
      <c r="AB124" s="58" t="str">
        <f t="shared" si="73"/>
        <v/>
      </c>
      <c r="AC124" s="59" t="str">
        <f t="shared" si="74"/>
        <v/>
      </c>
      <c r="AD124" s="59" t="str">
        <f t="shared" si="75"/>
        <v/>
      </c>
    </row>
    <row r="125" spans="3:30" x14ac:dyDescent="0.25">
      <c r="C125" s="4" cm="1">
        <f t="array" ref="C125">IF(C124=-1,-1, IF(C124&lt;income_max_row, C124+1, IF(C124=income_max_row, income_total_row, IF(C124=income_total_row, "/1", IF(C124="/1", expenses_header_row, IF(C124&lt;expenses_max_row, C124+1, IF(C124=expenses_max_row, expenses_total_row, IF(C124=expenses_total_row, "/2", IF(C124="/2", savings_header_row, IF(C124&lt;savings_max_row, C124+1, IF(C124=savings_max_row, savings_total_row, -1)))))))))))</f>
        <v>-1</v>
      </c>
      <c r="D125" s="5">
        <f t="shared" si="57"/>
        <v>-1</v>
      </c>
      <c r="E125" s="4" cm="1">
        <f t="array" ref="E125">1*OR(row_id=income_header_row, row_id=expenses_header_row, row_id=savings_header_row)</f>
        <v>0</v>
      </c>
      <c r="F125">
        <f t="shared" si="58"/>
        <v>0</v>
      </c>
      <c r="G125" cm="1">
        <f t="array" ref="G125">1*OR(row_id=income_total_row, row_id=expenses_total_row, row_id=savings_total_row)</f>
        <v>0</v>
      </c>
      <c r="H125" s="5">
        <f t="shared" si="59"/>
        <v>1</v>
      </c>
      <c r="I125" s="4" t="str" cm="1">
        <f t="array" ref="I125">IFERROR(INDEX('Budget Planning'!$C:$C, header_row_id), "")</f>
        <v/>
      </c>
      <c r="J125" t="str" cm="1">
        <f t="array" ref="J125">IFERROR(INDEX('Budget Planning'!$C:$C, row_id), "")</f>
        <v/>
      </c>
      <c r="K125" s="52" t="str" cm="1">
        <f t="array" ref="K12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5" s="53" t="str" cm="1">
        <f t="array" ref="L125">IF(OR(is_header, is_empty), "", INDEX('Budget Planning'!$E:$EM, row_id, MATCH(IF(selected_period="Total Year", selected_year, DATE(selected_year, selected_period, 1)), 'Budget Planning'!$E$9:$EM$9, 0)))</f>
        <v/>
      </c>
      <c r="M125" s="50" t="str" cm="1">
        <f t="array" ref="M125">IF(is_category, IF(header_row_id=income_header_row, MATCH(income_min_row, $C:$C, 0), IF(header_row_id=expenses_header_row, MATCH(expenses_min_row, $C:$C, 0), IF(header_row_id=savings_header_row, MATCH(savings_min_row, $C:$C, 0), ""))), "")</f>
        <v/>
      </c>
      <c r="N125" s="51" t="str" cm="1">
        <f t="array" ref="N125">IF(is_category, IF(header_row_id=income_header_row, MATCH(income_max_row, $C:$C, 0), IF(header_row_id=expenses_header_row, MATCH(expenses_max_row, $C:$C, 0), IF(header_row_id=savings_header_row, MATCH(savings_max_row, $C:$C, 0), ""))), "")</f>
        <v/>
      </c>
      <c r="O125" s="50" t="str">
        <f t="shared" si="60"/>
        <v/>
      </c>
      <c r="P125" s="49" t="str">
        <f t="shared" ca="1" si="61"/>
        <v/>
      </c>
      <c r="Q125" s="49" t="str">
        <f t="shared" si="62"/>
        <v/>
      </c>
      <c r="R125" s="51" t="str">
        <f t="shared" ca="1" si="63"/>
        <v/>
      </c>
      <c r="S125" s="50" t="str">
        <f t="shared" si="64"/>
        <v/>
      </c>
      <c r="T125" s="49" t="str">
        <f t="shared" si="65"/>
        <v/>
      </c>
      <c r="U125" s="49" t="str">
        <f t="shared" ca="1" si="66"/>
        <v/>
      </c>
      <c r="V125" s="49" t="str">
        <f t="shared" si="67"/>
        <v/>
      </c>
      <c r="W125" s="47" t="str">
        <f t="shared" ca="1" si="68"/>
        <v/>
      </c>
      <c r="X125" s="56">
        <f t="shared" si="69"/>
        <v>-1</v>
      </c>
      <c r="Y125" s="57" t="str">
        <f t="shared" si="70"/>
        <v/>
      </c>
      <c r="Z125" s="59" t="str">
        <f t="shared" si="71"/>
        <v/>
      </c>
      <c r="AA125" s="59" t="str">
        <f t="shared" si="72"/>
        <v/>
      </c>
      <c r="AB125" s="58" t="str">
        <f t="shared" si="73"/>
        <v/>
      </c>
      <c r="AC125" s="59" t="str">
        <f t="shared" si="74"/>
        <v/>
      </c>
      <c r="AD125" s="59" t="str">
        <f t="shared" si="75"/>
        <v/>
      </c>
    </row>
    <row r="126" spans="3:30" x14ac:dyDescent="0.25">
      <c r="C126" s="4" cm="1">
        <f t="array" ref="C126">IF(C125=-1,-1, IF(C125&lt;income_max_row, C125+1, IF(C125=income_max_row, income_total_row, IF(C125=income_total_row, "/1", IF(C125="/1", expenses_header_row, IF(C125&lt;expenses_max_row, C125+1, IF(C125=expenses_max_row, expenses_total_row, IF(C125=expenses_total_row, "/2", IF(C125="/2", savings_header_row, IF(C125&lt;savings_max_row, C125+1, IF(C125=savings_max_row, savings_total_row, -1)))))))))))</f>
        <v>-1</v>
      </c>
      <c r="D126" s="5">
        <f t="shared" si="57"/>
        <v>-1</v>
      </c>
      <c r="E126" s="4" cm="1">
        <f t="array" ref="E126">1*OR(row_id=income_header_row, row_id=expenses_header_row, row_id=savings_header_row)</f>
        <v>0</v>
      </c>
      <c r="F126">
        <f t="shared" si="58"/>
        <v>0</v>
      </c>
      <c r="G126" cm="1">
        <f t="array" ref="G126">1*OR(row_id=income_total_row, row_id=expenses_total_row, row_id=savings_total_row)</f>
        <v>0</v>
      </c>
      <c r="H126" s="5">
        <f t="shared" si="59"/>
        <v>1</v>
      </c>
      <c r="I126" s="4" t="str" cm="1">
        <f t="array" ref="I126">IFERROR(INDEX('Budget Planning'!$C:$C, header_row_id), "")</f>
        <v/>
      </c>
      <c r="J126" t="str" cm="1">
        <f t="array" ref="J126">IFERROR(INDEX('Budget Planning'!$C:$C, row_id), "")</f>
        <v/>
      </c>
      <c r="K126" s="52" t="str" cm="1">
        <f t="array" ref="K12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6" s="53" t="str" cm="1">
        <f t="array" ref="L126">IF(OR(is_header, is_empty), "", INDEX('Budget Planning'!$E:$EM, row_id, MATCH(IF(selected_period="Total Year", selected_year, DATE(selected_year, selected_period, 1)), 'Budget Planning'!$E$9:$EM$9, 0)))</f>
        <v/>
      </c>
      <c r="M126" s="50" t="str" cm="1">
        <f t="array" ref="M126">IF(is_category, IF(header_row_id=income_header_row, MATCH(income_min_row, $C:$C, 0), IF(header_row_id=expenses_header_row, MATCH(expenses_min_row, $C:$C, 0), IF(header_row_id=savings_header_row, MATCH(savings_min_row, $C:$C, 0), ""))), "")</f>
        <v/>
      </c>
      <c r="N126" s="51" t="str" cm="1">
        <f t="array" ref="N126">IF(is_category, IF(header_row_id=income_header_row, MATCH(income_max_row, $C:$C, 0), IF(header_row_id=expenses_header_row, MATCH(expenses_max_row, $C:$C, 0), IF(header_row_id=savings_header_row, MATCH(savings_max_row, $C:$C, 0), ""))), "")</f>
        <v/>
      </c>
      <c r="O126" s="50" t="str">
        <f t="shared" si="60"/>
        <v/>
      </c>
      <c r="P126" s="49" t="str">
        <f t="shared" ca="1" si="61"/>
        <v/>
      </c>
      <c r="Q126" s="49" t="str">
        <f t="shared" si="62"/>
        <v/>
      </c>
      <c r="R126" s="51" t="str">
        <f t="shared" ca="1" si="63"/>
        <v/>
      </c>
      <c r="S126" s="50" t="str">
        <f t="shared" si="64"/>
        <v/>
      </c>
      <c r="T126" s="49" t="str">
        <f t="shared" si="65"/>
        <v/>
      </c>
      <c r="U126" s="49" t="str">
        <f t="shared" ca="1" si="66"/>
        <v/>
      </c>
      <c r="V126" s="49" t="str">
        <f t="shared" si="67"/>
        <v/>
      </c>
      <c r="W126" s="47" t="str">
        <f t="shared" ca="1" si="68"/>
        <v/>
      </c>
      <c r="X126" s="56">
        <f t="shared" si="69"/>
        <v>-1</v>
      </c>
      <c r="Y126" s="57" t="str">
        <f t="shared" si="70"/>
        <v/>
      </c>
      <c r="Z126" s="59" t="str">
        <f t="shared" si="71"/>
        <v/>
      </c>
      <c r="AA126" s="59" t="str">
        <f t="shared" si="72"/>
        <v/>
      </c>
      <c r="AB126" s="58" t="str">
        <f t="shared" si="73"/>
        <v/>
      </c>
      <c r="AC126" s="59" t="str">
        <f t="shared" si="74"/>
        <v/>
      </c>
      <c r="AD126" s="59" t="str">
        <f t="shared" si="75"/>
        <v/>
      </c>
    </row>
    <row r="127" spans="3:30" x14ac:dyDescent="0.25">
      <c r="C127" s="4" cm="1">
        <f t="array" ref="C127">IF(C126=-1,-1, IF(C126&lt;income_max_row, C126+1, IF(C126=income_max_row, income_total_row, IF(C126=income_total_row, "/1", IF(C126="/1", expenses_header_row, IF(C126&lt;expenses_max_row, C126+1, IF(C126=expenses_max_row, expenses_total_row, IF(C126=expenses_total_row, "/2", IF(C126="/2", savings_header_row, IF(C126&lt;savings_max_row, C126+1, IF(C126=savings_max_row, savings_total_row, -1)))))))))))</f>
        <v>-1</v>
      </c>
      <c r="D127" s="5">
        <f t="shared" si="57"/>
        <v>-1</v>
      </c>
      <c r="E127" s="4" cm="1">
        <f t="array" ref="E127">1*OR(row_id=income_header_row, row_id=expenses_header_row, row_id=savings_header_row)</f>
        <v>0</v>
      </c>
      <c r="F127">
        <f t="shared" si="58"/>
        <v>0</v>
      </c>
      <c r="G127" cm="1">
        <f t="array" ref="G127">1*OR(row_id=income_total_row, row_id=expenses_total_row, row_id=savings_total_row)</f>
        <v>0</v>
      </c>
      <c r="H127" s="5">
        <f t="shared" si="59"/>
        <v>1</v>
      </c>
      <c r="I127" s="4" t="str" cm="1">
        <f t="array" ref="I127">IFERROR(INDEX('Budget Planning'!$C:$C, header_row_id), "")</f>
        <v/>
      </c>
      <c r="J127" t="str" cm="1">
        <f t="array" ref="J127">IFERROR(INDEX('Budget Planning'!$C:$C, row_id), "")</f>
        <v/>
      </c>
      <c r="K127" s="52" t="str" cm="1">
        <f t="array" ref="K12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7" s="53" t="str" cm="1">
        <f t="array" ref="L127">IF(OR(is_header, is_empty), "", INDEX('Budget Planning'!$E:$EM, row_id, MATCH(IF(selected_period="Total Year", selected_year, DATE(selected_year, selected_period, 1)), 'Budget Planning'!$E$9:$EM$9, 0)))</f>
        <v/>
      </c>
      <c r="M127" s="50" t="str" cm="1">
        <f t="array" ref="M127">IF(is_category, IF(header_row_id=income_header_row, MATCH(income_min_row, $C:$C, 0), IF(header_row_id=expenses_header_row, MATCH(expenses_min_row, $C:$C, 0), IF(header_row_id=savings_header_row, MATCH(savings_min_row, $C:$C, 0), ""))), "")</f>
        <v/>
      </c>
      <c r="N127" s="51" t="str" cm="1">
        <f t="array" ref="N127">IF(is_category, IF(header_row_id=income_header_row, MATCH(income_max_row, $C:$C, 0), IF(header_row_id=expenses_header_row, MATCH(expenses_max_row, $C:$C, 0), IF(header_row_id=savings_header_row, MATCH(savings_max_row, $C:$C, 0), ""))), "")</f>
        <v/>
      </c>
      <c r="O127" s="50" t="str">
        <f t="shared" si="60"/>
        <v/>
      </c>
      <c r="P127" s="49" t="str">
        <f t="shared" ca="1" si="61"/>
        <v/>
      </c>
      <c r="Q127" s="49" t="str">
        <f t="shared" si="62"/>
        <v/>
      </c>
      <c r="R127" s="51" t="str">
        <f t="shared" ca="1" si="63"/>
        <v/>
      </c>
      <c r="S127" s="50" t="str">
        <f t="shared" si="64"/>
        <v/>
      </c>
      <c r="T127" s="49" t="str">
        <f t="shared" si="65"/>
        <v/>
      </c>
      <c r="U127" s="49" t="str">
        <f t="shared" ca="1" si="66"/>
        <v/>
      </c>
      <c r="V127" s="49" t="str">
        <f t="shared" si="67"/>
        <v/>
      </c>
      <c r="W127" s="47" t="str">
        <f t="shared" ca="1" si="68"/>
        <v/>
      </c>
      <c r="X127" s="56">
        <f t="shared" si="69"/>
        <v>-1</v>
      </c>
      <c r="Y127" s="57" t="str">
        <f t="shared" si="70"/>
        <v/>
      </c>
      <c r="Z127" s="59" t="str">
        <f t="shared" si="71"/>
        <v/>
      </c>
      <c r="AA127" s="59" t="str">
        <f t="shared" si="72"/>
        <v/>
      </c>
      <c r="AB127" s="58" t="str">
        <f t="shared" si="73"/>
        <v/>
      </c>
      <c r="AC127" s="59" t="str">
        <f t="shared" si="74"/>
        <v/>
      </c>
      <c r="AD127" s="59" t="str">
        <f t="shared" si="75"/>
        <v/>
      </c>
    </row>
    <row r="128" spans="3:30" x14ac:dyDescent="0.25">
      <c r="C128" s="4" cm="1">
        <f t="array" ref="C128">IF(C127=-1,-1, IF(C127&lt;income_max_row, C127+1, IF(C127=income_max_row, income_total_row, IF(C127=income_total_row, "/1", IF(C127="/1", expenses_header_row, IF(C127&lt;expenses_max_row, C127+1, IF(C127=expenses_max_row, expenses_total_row, IF(C127=expenses_total_row, "/2", IF(C127="/2", savings_header_row, IF(C127&lt;savings_max_row, C127+1, IF(C127=savings_max_row, savings_total_row, -1)))))))))))</f>
        <v>-1</v>
      </c>
      <c r="D128" s="5">
        <f t="shared" si="57"/>
        <v>-1</v>
      </c>
      <c r="E128" s="4" cm="1">
        <f t="array" ref="E128">1*OR(row_id=income_header_row, row_id=expenses_header_row, row_id=savings_header_row)</f>
        <v>0</v>
      </c>
      <c r="F128">
        <f t="shared" si="58"/>
        <v>0</v>
      </c>
      <c r="G128" cm="1">
        <f t="array" ref="G128">1*OR(row_id=income_total_row, row_id=expenses_total_row, row_id=savings_total_row)</f>
        <v>0</v>
      </c>
      <c r="H128" s="5">
        <f t="shared" si="59"/>
        <v>1</v>
      </c>
      <c r="I128" s="4" t="str" cm="1">
        <f t="array" ref="I128">IFERROR(INDEX('Budget Planning'!$C:$C, header_row_id), "")</f>
        <v/>
      </c>
      <c r="J128" t="str" cm="1">
        <f t="array" ref="J128">IFERROR(INDEX('Budget Planning'!$C:$C, row_id), "")</f>
        <v/>
      </c>
      <c r="K128" s="52" t="str" cm="1">
        <f t="array" ref="K12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8" s="53" t="str" cm="1">
        <f t="array" ref="L128">IF(OR(is_header, is_empty), "", INDEX('Budget Planning'!$E:$EM, row_id, MATCH(IF(selected_period="Total Year", selected_year, DATE(selected_year, selected_period, 1)), 'Budget Planning'!$E$9:$EM$9, 0)))</f>
        <v/>
      </c>
      <c r="M128" s="50" t="str" cm="1">
        <f t="array" ref="M128">IF(is_category, IF(header_row_id=income_header_row, MATCH(income_min_row, $C:$C, 0), IF(header_row_id=expenses_header_row, MATCH(expenses_min_row, $C:$C, 0), IF(header_row_id=savings_header_row, MATCH(savings_min_row, $C:$C, 0), ""))), "")</f>
        <v/>
      </c>
      <c r="N128" s="51" t="str" cm="1">
        <f t="array" ref="N128">IF(is_category, IF(header_row_id=income_header_row, MATCH(income_max_row, $C:$C, 0), IF(header_row_id=expenses_header_row, MATCH(expenses_max_row, $C:$C, 0), IF(header_row_id=savings_header_row, MATCH(savings_max_row, $C:$C, 0), ""))), "")</f>
        <v/>
      </c>
      <c r="O128" s="50" t="str">
        <f t="shared" si="60"/>
        <v/>
      </c>
      <c r="P128" s="49" t="str">
        <f t="shared" ca="1" si="61"/>
        <v/>
      </c>
      <c r="Q128" s="49" t="str">
        <f t="shared" si="62"/>
        <v/>
      </c>
      <c r="R128" s="51" t="str">
        <f t="shared" ca="1" si="63"/>
        <v/>
      </c>
      <c r="S128" s="50" t="str">
        <f t="shared" si="64"/>
        <v/>
      </c>
      <c r="T128" s="49" t="str">
        <f t="shared" si="65"/>
        <v/>
      </c>
      <c r="U128" s="49" t="str">
        <f t="shared" ca="1" si="66"/>
        <v/>
      </c>
      <c r="V128" s="49" t="str">
        <f t="shared" si="67"/>
        <v/>
      </c>
      <c r="W128" s="47" t="str">
        <f t="shared" ca="1" si="68"/>
        <v/>
      </c>
      <c r="X128" s="56">
        <f t="shared" si="69"/>
        <v>-1</v>
      </c>
      <c r="Y128" s="57" t="str">
        <f t="shared" si="70"/>
        <v/>
      </c>
      <c r="Z128" s="59" t="str">
        <f t="shared" si="71"/>
        <v/>
      </c>
      <c r="AA128" s="59" t="str">
        <f t="shared" si="72"/>
        <v/>
      </c>
      <c r="AB128" s="58" t="str">
        <f t="shared" si="73"/>
        <v/>
      </c>
      <c r="AC128" s="59" t="str">
        <f t="shared" si="74"/>
        <v/>
      </c>
      <c r="AD128" s="59" t="str">
        <f t="shared" si="75"/>
        <v/>
      </c>
    </row>
    <row r="129" spans="3:30" x14ac:dyDescent="0.25">
      <c r="C129" s="4" cm="1">
        <f t="array" ref="C129">IF(C128=-1,-1, IF(C128&lt;income_max_row, C128+1, IF(C128=income_max_row, income_total_row, IF(C128=income_total_row, "/1", IF(C128="/1", expenses_header_row, IF(C128&lt;expenses_max_row, C128+1, IF(C128=expenses_max_row, expenses_total_row, IF(C128=expenses_total_row, "/2", IF(C128="/2", savings_header_row, IF(C128&lt;savings_max_row, C128+1, IF(C128=savings_max_row, savings_total_row, -1)))))))))))</f>
        <v>-1</v>
      </c>
      <c r="D129" s="5">
        <f t="shared" si="57"/>
        <v>-1</v>
      </c>
      <c r="E129" s="4" cm="1">
        <f t="array" ref="E129">1*OR(row_id=income_header_row, row_id=expenses_header_row, row_id=savings_header_row)</f>
        <v>0</v>
      </c>
      <c r="F129">
        <f t="shared" si="58"/>
        <v>0</v>
      </c>
      <c r="G129" cm="1">
        <f t="array" ref="G129">1*OR(row_id=income_total_row, row_id=expenses_total_row, row_id=savings_total_row)</f>
        <v>0</v>
      </c>
      <c r="H129" s="5">
        <f t="shared" si="59"/>
        <v>1</v>
      </c>
      <c r="I129" s="4" t="str" cm="1">
        <f t="array" ref="I129">IFERROR(INDEX('Budget Planning'!$C:$C, header_row_id), "")</f>
        <v/>
      </c>
      <c r="J129" t="str" cm="1">
        <f t="array" ref="J129">IFERROR(INDEX('Budget Planning'!$C:$C, row_id), "")</f>
        <v/>
      </c>
      <c r="K129" s="52" t="str" cm="1">
        <f t="array" ref="K12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29" s="53" t="str" cm="1">
        <f t="array" ref="L129">IF(OR(is_header, is_empty), "", INDEX('Budget Planning'!$E:$EM, row_id, MATCH(IF(selected_period="Total Year", selected_year, DATE(selected_year, selected_period, 1)), 'Budget Planning'!$E$9:$EM$9, 0)))</f>
        <v/>
      </c>
      <c r="M129" s="50" t="str" cm="1">
        <f t="array" ref="M129">IF(is_category, IF(header_row_id=income_header_row, MATCH(income_min_row, $C:$C, 0), IF(header_row_id=expenses_header_row, MATCH(expenses_min_row, $C:$C, 0), IF(header_row_id=savings_header_row, MATCH(savings_min_row, $C:$C, 0), ""))), "")</f>
        <v/>
      </c>
      <c r="N129" s="51" t="str" cm="1">
        <f t="array" ref="N129">IF(is_category, IF(header_row_id=income_header_row, MATCH(income_max_row, $C:$C, 0), IF(header_row_id=expenses_header_row, MATCH(expenses_max_row, $C:$C, 0), IF(header_row_id=savings_header_row, MATCH(savings_max_row, $C:$C, 0), ""))), "")</f>
        <v/>
      </c>
      <c r="O129" s="50" t="str">
        <f t="shared" si="60"/>
        <v/>
      </c>
      <c r="P129" s="49" t="str">
        <f t="shared" ca="1" si="61"/>
        <v/>
      </c>
      <c r="Q129" s="49" t="str">
        <f t="shared" si="62"/>
        <v/>
      </c>
      <c r="R129" s="51" t="str">
        <f t="shared" ca="1" si="63"/>
        <v/>
      </c>
      <c r="S129" s="50" t="str">
        <f t="shared" si="64"/>
        <v/>
      </c>
      <c r="T129" s="49" t="str">
        <f t="shared" si="65"/>
        <v/>
      </c>
      <c r="U129" s="49" t="str">
        <f t="shared" ca="1" si="66"/>
        <v/>
      </c>
      <c r="V129" s="49" t="str">
        <f t="shared" si="67"/>
        <v/>
      </c>
      <c r="W129" s="47" t="str">
        <f t="shared" ca="1" si="68"/>
        <v/>
      </c>
      <c r="X129" s="56">
        <f t="shared" si="69"/>
        <v>-1</v>
      </c>
      <c r="Y129" s="57" t="str">
        <f t="shared" si="70"/>
        <v/>
      </c>
      <c r="Z129" s="59" t="str">
        <f t="shared" si="71"/>
        <v/>
      </c>
      <c r="AA129" s="59" t="str">
        <f t="shared" si="72"/>
        <v/>
      </c>
      <c r="AB129" s="58" t="str">
        <f t="shared" si="73"/>
        <v/>
      </c>
      <c r="AC129" s="59" t="str">
        <f t="shared" si="74"/>
        <v/>
      </c>
      <c r="AD129" s="59" t="str">
        <f t="shared" si="75"/>
        <v/>
      </c>
    </row>
    <row r="130" spans="3:30" x14ac:dyDescent="0.25">
      <c r="C130" s="4" cm="1">
        <f t="array" ref="C130">IF(C129=-1,-1, IF(C129&lt;income_max_row, C129+1, IF(C129=income_max_row, income_total_row, IF(C129=income_total_row, "/1", IF(C129="/1", expenses_header_row, IF(C129&lt;expenses_max_row, C129+1, IF(C129=expenses_max_row, expenses_total_row, IF(C129=expenses_total_row, "/2", IF(C129="/2", savings_header_row, IF(C129&lt;savings_max_row, C129+1, IF(C129=savings_max_row, savings_total_row, -1)))))))))))</f>
        <v>-1</v>
      </c>
      <c r="D130" s="5">
        <f t="shared" si="57"/>
        <v>-1</v>
      </c>
      <c r="E130" s="4" cm="1">
        <f t="array" ref="E130">1*OR(row_id=income_header_row, row_id=expenses_header_row, row_id=savings_header_row)</f>
        <v>0</v>
      </c>
      <c r="F130">
        <f t="shared" si="58"/>
        <v>0</v>
      </c>
      <c r="G130" cm="1">
        <f t="array" ref="G130">1*OR(row_id=income_total_row, row_id=expenses_total_row, row_id=savings_total_row)</f>
        <v>0</v>
      </c>
      <c r="H130" s="5">
        <f t="shared" si="59"/>
        <v>1</v>
      </c>
      <c r="I130" s="4" t="str" cm="1">
        <f t="array" ref="I130">IFERROR(INDEX('Budget Planning'!$C:$C, header_row_id), "")</f>
        <v/>
      </c>
      <c r="J130" t="str" cm="1">
        <f t="array" ref="J130">IFERROR(INDEX('Budget Planning'!$C:$C, row_id), "")</f>
        <v/>
      </c>
      <c r="K130" s="52" t="str" cm="1">
        <f t="array" ref="K13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0" s="53" t="str" cm="1">
        <f t="array" ref="L130">IF(OR(is_header, is_empty), "", INDEX('Budget Planning'!$E:$EM, row_id, MATCH(IF(selected_period="Total Year", selected_year, DATE(selected_year, selected_period, 1)), 'Budget Planning'!$E$9:$EM$9, 0)))</f>
        <v/>
      </c>
      <c r="M130" s="50" t="str" cm="1">
        <f t="array" ref="M130">IF(is_category, IF(header_row_id=income_header_row, MATCH(income_min_row, $C:$C, 0), IF(header_row_id=expenses_header_row, MATCH(expenses_min_row, $C:$C, 0), IF(header_row_id=savings_header_row, MATCH(savings_min_row, $C:$C, 0), ""))), "")</f>
        <v/>
      </c>
      <c r="N130" s="51" t="str" cm="1">
        <f t="array" ref="N130">IF(is_category, IF(header_row_id=income_header_row, MATCH(income_max_row, $C:$C, 0), IF(header_row_id=expenses_header_row, MATCH(expenses_max_row, $C:$C, 0), IF(header_row_id=savings_header_row, MATCH(savings_max_row, $C:$C, 0), ""))), "")</f>
        <v/>
      </c>
      <c r="O130" s="50" t="str">
        <f t="shared" si="60"/>
        <v/>
      </c>
      <c r="P130" s="49" t="str">
        <f t="shared" ca="1" si="61"/>
        <v/>
      </c>
      <c r="Q130" s="49" t="str">
        <f t="shared" si="62"/>
        <v/>
      </c>
      <c r="R130" s="51" t="str">
        <f t="shared" ca="1" si="63"/>
        <v/>
      </c>
      <c r="S130" s="50" t="str">
        <f t="shared" si="64"/>
        <v/>
      </c>
      <c r="T130" s="49" t="str">
        <f t="shared" si="65"/>
        <v/>
      </c>
      <c r="U130" s="49" t="str">
        <f t="shared" ca="1" si="66"/>
        <v/>
      </c>
      <c r="V130" s="49" t="str">
        <f t="shared" si="67"/>
        <v/>
      </c>
      <c r="W130" s="47" t="str">
        <f t="shared" ca="1" si="68"/>
        <v/>
      </c>
      <c r="X130" s="56">
        <f t="shared" si="69"/>
        <v>-1</v>
      </c>
      <c r="Y130" s="57" t="str">
        <f t="shared" si="70"/>
        <v/>
      </c>
      <c r="Z130" s="59" t="str">
        <f t="shared" si="71"/>
        <v/>
      </c>
      <c r="AA130" s="59" t="str">
        <f t="shared" si="72"/>
        <v/>
      </c>
      <c r="AB130" s="58" t="str">
        <f t="shared" si="73"/>
        <v/>
      </c>
      <c r="AC130" s="59" t="str">
        <f t="shared" si="74"/>
        <v/>
      </c>
      <c r="AD130" s="59" t="str">
        <f t="shared" si="75"/>
        <v/>
      </c>
    </row>
    <row r="131" spans="3:30" x14ac:dyDescent="0.25">
      <c r="C131" s="4" cm="1">
        <f t="array" ref="C131">IF(C130=-1,-1, IF(C130&lt;income_max_row, C130+1, IF(C130=income_max_row, income_total_row, IF(C130=income_total_row, "/1", IF(C130="/1", expenses_header_row, IF(C130&lt;expenses_max_row, C130+1, IF(C130=expenses_max_row, expenses_total_row, IF(C130=expenses_total_row, "/2", IF(C130="/2", savings_header_row, IF(C130&lt;savings_max_row, C130+1, IF(C130=savings_max_row, savings_total_row, -1)))))))))))</f>
        <v>-1</v>
      </c>
      <c r="D131" s="5">
        <f t="shared" si="57"/>
        <v>-1</v>
      </c>
      <c r="E131" s="4" cm="1">
        <f t="array" ref="E131">1*OR(row_id=income_header_row, row_id=expenses_header_row, row_id=savings_header_row)</f>
        <v>0</v>
      </c>
      <c r="F131">
        <f t="shared" si="58"/>
        <v>0</v>
      </c>
      <c r="G131" cm="1">
        <f t="array" ref="G131">1*OR(row_id=income_total_row, row_id=expenses_total_row, row_id=savings_total_row)</f>
        <v>0</v>
      </c>
      <c r="H131" s="5">
        <f t="shared" si="59"/>
        <v>1</v>
      </c>
      <c r="I131" s="4" t="str" cm="1">
        <f t="array" ref="I131">IFERROR(INDEX('Budget Planning'!$C:$C, header_row_id), "")</f>
        <v/>
      </c>
      <c r="J131" t="str" cm="1">
        <f t="array" ref="J131">IFERROR(INDEX('Budget Planning'!$C:$C, row_id), "")</f>
        <v/>
      </c>
      <c r="K131" s="52" t="str" cm="1">
        <f t="array" ref="K13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1" s="53" t="str" cm="1">
        <f t="array" ref="L131">IF(OR(is_header, is_empty), "", INDEX('Budget Planning'!$E:$EM, row_id, MATCH(IF(selected_period="Total Year", selected_year, DATE(selected_year, selected_period, 1)), 'Budget Planning'!$E$9:$EM$9, 0)))</f>
        <v/>
      </c>
      <c r="M131" s="50" t="str" cm="1">
        <f t="array" ref="M131">IF(is_category, IF(header_row_id=income_header_row, MATCH(income_min_row, $C:$C, 0), IF(header_row_id=expenses_header_row, MATCH(expenses_min_row, $C:$C, 0), IF(header_row_id=savings_header_row, MATCH(savings_min_row, $C:$C, 0), ""))), "")</f>
        <v/>
      </c>
      <c r="N131" s="51" t="str" cm="1">
        <f t="array" ref="N131">IF(is_category, IF(header_row_id=income_header_row, MATCH(income_max_row, $C:$C, 0), IF(header_row_id=expenses_header_row, MATCH(expenses_max_row, $C:$C, 0), IF(header_row_id=savings_header_row, MATCH(savings_max_row, $C:$C, 0), ""))), "")</f>
        <v/>
      </c>
      <c r="O131" s="50" t="str">
        <f t="shared" si="60"/>
        <v/>
      </c>
      <c r="P131" s="49" t="str">
        <f t="shared" ca="1" si="61"/>
        <v/>
      </c>
      <c r="Q131" s="49" t="str">
        <f t="shared" si="62"/>
        <v/>
      </c>
      <c r="R131" s="51" t="str">
        <f t="shared" ca="1" si="63"/>
        <v/>
      </c>
      <c r="S131" s="50" t="str">
        <f t="shared" si="64"/>
        <v/>
      </c>
      <c r="T131" s="49" t="str">
        <f t="shared" si="65"/>
        <v/>
      </c>
      <c r="U131" s="49" t="str">
        <f t="shared" ca="1" si="66"/>
        <v/>
      </c>
      <c r="V131" s="49" t="str">
        <f t="shared" si="67"/>
        <v/>
      </c>
      <c r="W131" s="47" t="str">
        <f t="shared" ca="1" si="68"/>
        <v/>
      </c>
      <c r="X131" s="56">
        <f t="shared" si="69"/>
        <v>-1</v>
      </c>
      <c r="Y131" s="57" t="str">
        <f t="shared" si="70"/>
        <v/>
      </c>
      <c r="Z131" s="59" t="str">
        <f t="shared" si="71"/>
        <v/>
      </c>
      <c r="AA131" s="59" t="str">
        <f t="shared" si="72"/>
        <v/>
      </c>
      <c r="AB131" s="58" t="str">
        <f t="shared" si="73"/>
        <v/>
      </c>
      <c r="AC131" s="59" t="str">
        <f t="shared" si="74"/>
        <v/>
      </c>
      <c r="AD131" s="59" t="str">
        <f t="shared" si="75"/>
        <v/>
      </c>
    </row>
    <row r="132" spans="3:30" x14ac:dyDescent="0.25">
      <c r="C132" s="4" cm="1">
        <f t="array" ref="C132">IF(C131=-1,-1, IF(C131&lt;income_max_row, C131+1, IF(C131=income_max_row, income_total_row, IF(C131=income_total_row, "/1", IF(C131="/1", expenses_header_row, IF(C131&lt;expenses_max_row, C131+1, IF(C131=expenses_max_row, expenses_total_row, IF(C131=expenses_total_row, "/2", IF(C131="/2", savings_header_row, IF(C131&lt;savings_max_row, C131+1, IF(C131=savings_max_row, savings_total_row, -1)))))))))))</f>
        <v>-1</v>
      </c>
      <c r="D132" s="5">
        <f t="shared" si="57"/>
        <v>-1</v>
      </c>
      <c r="E132" s="4" cm="1">
        <f t="array" ref="E132">1*OR(row_id=income_header_row, row_id=expenses_header_row, row_id=savings_header_row)</f>
        <v>0</v>
      </c>
      <c r="F132">
        <f t="shared" si="58"/>
        <v>0</v>
      </c>
      <c r="G132" cm="1">
        <f t="array" ref="G132">1*OR(row_id=income_total_row, row_id=expenses_total_row, row_id=savings_total_row)</f>
        <v>0</v>
      </c>
      <c r="H132" s="5">
        <f t="shared" si="59"/>
        <v>1</v>
      </c>
      <c r="I132" s="4" t="str" cm="1">
        <f t="array" ref="I132">IFERROR(INDEX('Budget Planning'!$C:$C, header_row_id), "")</f>
        <v/>
      </c>
      <c r="J132" t="str" cm="1">
        <f t="array" ref="J132">IFERROR(INDEX('Budget Planning'!$C:$C, row_id), "")</f>
        <v/>
      </c>
      <c r="K132" s="52" t="str" cm="1">
        <f t="array" ref="K13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2" s="53" t="str" cm="1">
        <f t="array" ref="L132">IF(OR(is_header, is_empty), "", INDEX('Budget Planning'!$E:$EM, row_id, MATCH(IF(selected_period="Total Year", selected_year, DATE(selected_year, selected_period, 1)), 'Budget Planning'!$E$9:$EM$9, 0)))</f>
        <v/>
      </c>
      <c r="M132" s="50" t="str" cm="1">
        <f t="array" ref="M132">IF(is_category, IF(header_row_id=income_header_row, MATCH(income_min_row, $C:$C, 0), IF(header_row_id=expenses_header_row, MATCH(expenses_min_row, $C:$C, 0), IF(header_row_id=savings_header_row, MATCH(savings_min_row, $C:$C, 0), ""))), "")</f>
        <v/>
      </c>
      <c r="N132" s="51" t="str" cm="1">
        <f t="array" ref="N132">IF(is_category, IF(header_row_id=income_header_row, MATCH(income_max_row, $C:$C, 0), IF(header_row_id=expenses_header_row, MATCH(expenses_max_row, $C:$C, 0), IF(header_row_id=savings_header_row, MATCH(savings_max_row, $C:$C, 0), ""))), "")</f>
        <v/>
      </c>
      <c r="O132" s="50" t="str">
        <f t="shared" si="60"/>
        <v/>
      </c>
      <c r="P132" s="49" t="str">
        <f t="shared" ca="1" si="61"/>
        <v/>
      </c>
      <c r="Q132" s="49" t="str">
        <f t="shared" si="62"/>
        <v/>
      </c>
      <c r="R132" s="51" t="str">
        <f t="shared" ca="1" si="63"/>
        <v/>
      </c>
      <c r="S132" s="50" t="str">
        <f t="shared" si="64"/>
        <v/>
      </c>
      <c r="T132" s="49" t="str">
        <f t="shared" si="65"/>
        <v/>
      </c>
      <c r="U132" s="49" t="str">
        <f t="shared" ca="1" si="66"/>
        <v/>
      </c>
      <c r="V132" s="49" t="str">
        <f t="shared" si="67"/>
        <v/>
      </c>
      <c r="W132" s="47" t="str">
        <f t="shared" ca="1" si="68"/>
        <v/>
      </c>
      <c r="X132" s="56">
        <f t="shared" si="69"/>
        <v>-1</v>
      </c>
      <c r="Y132" s="57" t="str">
        <f t="shared" si="70"/>
        <v/>
      </c>
      <c r="Z132" s="59" t="str">
        <f t="shared" si="71"/>
        <v/>
      </c>
      <c r="AA132" s="59" t="str">
        <f t="shared" si="72"/>
        <v/>
      </c>
      <c r="AB132" s="58" t="str">
        <f t="shared" si="73"/>
        <v/>
      </c>
      <c r="AC132" s="59" t="str">
        <f t="shared" si="74"/>
        <v/>
      </c>
      <c r="AD132" s="59" t="str">
        <f t="shared" si="75"/>
        <v/>
      </c>
    </row>
    <row r="133" spans="3:30" x14ac:dyDescent="0.25">
      <c r="C133" s="4" cm="1">
        <f t="array" ref="C133">IF(C132=-1,-1, IF(C132&lt;income_max_row, C132+1, IF(C132=income_max_row, income_total_row, IF(C132=income_total_row, "/1", IF(C132="/1", expenses_header_row, IF(C132&lt;expenses_max_row, C132+1, IF(C132=expenses_max_row, expenses_total_row, IF(C132=expenses_total_row, "/2", IF(C132="/2", savings_header_row, IF(C132&lt;savings_max_row, C132+1, IF(C132=savings_max_row, savings_total_row, -1)))))))))))</f>
        <v>-1</v>
      </c>
      <c r="D133" s="5">
        <f t="shared" si="57"/>
        <v>-1</v>
      </c>
      <c r="E133" s="4" cm="1">
        <f t="array" ref="E133">1*OR(row_id=income_header_row, row_id=expenses_header_row, row_id=savings_header_row)</f>
        <v>0</v>
      </c>
      <c r="F133">
        <f t="shared" si="58"/>
        <v>0</v>
      </c>
      <c r="G133" cm="1">
        <f t="array" ref="G133">1*OR(row_id=income_total_row, row_id=expenses_total_row, row_id=savings_total_row)</f>
        <v>0</v>
      </c>
      <c r="H133" s="5">
        <f t="shared" si="59"/>
        <v>1</v>
      </c>
      <c r="I133" s="4" t="str" cm="1">
        <f t="array" ref="I133">IFERROR(INDEX('Budget Planning'!$C:$C, header_row_id), "")</f>
        <v/>
      </c>
      <c r="J133" t="str" cm="1">
        <f t="array" ref="J133">IFERROR(INDEX('Budget Planning'!$C:$C, row_id), "")</f>
        <v/>
      </c>
      <c r="K133" s="52" t="str" cm="1">
        <f t="array" ref="K13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3" s="53" t="str" cm="1">
        <f t="array" ref="L133">IF(OR(is_header, is_empty), "", INDEX('Budget Planning'!$E:$EM, row_id, MATCH(IF(selected_period="Total Year", selected_year, DATE(selected_year, selected_period, 1)), 'Budget Planning'!$E$9:$EM$9, 0)))</f>
        <v/>
      </c>
      <c r="M133" s="50" t="str" cm="1">
        <f t="array" ref="M133">IF(is_category, IF(header_row_id=income_header_row, MATCH(income_min_row, $C:$C, 0), IF(header_row_id=expenses_header_row, MATCH(expenses_min_row, $C:$C, 0), IF(header_row_id=savings_header_row, MATCH(savings_min_row, $C:$C, 0), ""))), "")</f>
        <v/>
      </c>
      <c r="N133" s="51" t="str" cm="1">
        <f t="array" ref="N133">IF(is_category, IF(header_row_id=income_header_row, MATCH(income_max_row, $C:$C, 0), IF(header_row_id=expenses_header_row, MATCH(expenses_max_row, $C:$C, 0), IF(header_row_id=savings_header_row, MATCH(savings_max_row, $C:$C, 0), ""))), "")</f>
        <v/>
      </c>
      <c r="O133" s="50" t="str">
        <f t="shared" si="60"/>
        <v/>
      </c>
      <c r="P133" s="49" t="str">
        <f t="shared" ca="1" si="61"/>
        <v/>
      </c>
      <c r="Q133" s="49" t="str">
        <f t="shared" si="62"/>
        <v/>
      </c>
      <c r="R133" s="51" t="str">
        <f t="shared" ca="1" si="63"/>
        <v/>
      </c>
      <c r="S133" s="50" t="str">
        <f t="shared" si="64"/>
        <v/>
      </c>
      <c r="T133" s="49" t="str">
        <f t="shared" si="65"/>
        <v/>
      </c>
      <c r="U133" s="49" t="str">
        <f t="shared" ca="1" si="66"/>
        <v/>
      </c>
      <c r="V133" s="49" t="str">
        <f t="shared" si="67"/>
        <v/>
      </c>
      <c r="W133" s="47" t="str">
        <f t="shared" ca="1" si="68"/>
        <v/>
      </c>
      <c r="X133" s="56">
        <f t="shared" si="69"/>
        <v>-1</v>
      </c>
      <c r="Y133" s="57" t="str">
        <f t="shared" si="70"/>
        <v/>
      </c>
      <c r="Z133" s="59" t="str">
        <f t="shared" si="71"/>
        <v/>
      </c>
      <c r="AA133" s="59" t="str">
        <f t="shared" si="72"/>
        <v/>
      </c>
      <c r="AB133" s="58" t="str">
        <f t="shared" si="73"/>
        <v/>
      </c>
      <c r="AC133" s="59" t="str">
        <f t="shared" si="74"/>
        <v/>
      </c>
      <c r="AD133" s="59" t="str">
        <f t="shared" si="75"/>
        <v/>
      </c>
    </row>
    <row r="134" spans="3:30" x14ac:dyDescent="0.25">
      <c r="C134" s="4" cm="1">
        <f t="array" ref="C134">IF(C133=-1,-1, IF(C133&lt;income_max_row, C133+1, IF(C133=income_max_row, income_total_row, IF(C133=income_total_row, "/1", IF(C133="/1", expenses_header_row, IF(C133&lt;expenses_max_row, C133+1, IF(C133=expenses_max_row, expenses_total_row, IF(C133=expenses_total_row, "/2", IF(C133="/2", savings_header_row, IF(C133&lt;savings_max_row, C133+1, IF(C133=savings_max_row, savings_total_row, -1)))))))))))</f>
        <v>-1</v>
      </c>
      <c r="D134" s="5">
        <f t="shared" si="57"/>
        <v>-1</v>
      </c>
      <c r="E134" s="4" cm="1">
        <f t="array" ref="E134">1*OR(row_id=income_header_row, row_id=expenses_header_row, row_id=savings_header_row)</f>
        <v>0</v>
      </c>
      <c r="F134">
        <f t="shared" si="58"/>
        <v>0</v>
      </c>
      <c r="G134" cm="1">
        <f t="array" ref="G134">1*OR(row_id=income_total_row, row_id=expenses_total_row, row_id=savings_total_row)</f>
        <v>0</v>
      </c>
      <c r="H134" s="5">
        <f t="shared" si="59"/>
        <v>1</v>
      </c>
      <c r="I134" s="4" t="str" cm="1">
        <f t="array" ref="I134">IFERROR(INDEX('Budget Planning'!$C:$C, header_row_id), "")</f>
        <v/>
      </c>
      <c r="J134" t="str" cm="1">
        <f t="array" ref="J134">IFERROR(INDEX('Budget Planning'!$C:$C, row_id), "")</f>
        <v/>
      </c>
      <c r="K134" s="52" t="str" cm="1">
        <f t="array" ref="K13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4" s="53" t="str" cm="1">
        <f t="array" ref="L134">IF(OR(is_header, is_empty), "", INDEX('Budget Planning'!$E:$EM, row_id, MATCH(IF(selected_period="Total Year", selected_year, DATE(selected_year, selected_period, 1)), 'Budget Planning'!$E$9:$EM$9, 0)))</f>
        <v/>
      </c>
      <c r="M134" s="50" t="str" cm="1">
        <f t="array" ref="M134">IF(is_category, IF(header_row_id=income_header_row, MATCH(income_min_row, $C:$C, 0), IF(header_row_id=expenses_header_row, MATCH(expenses_min_row, $C:$C, 0), IF(header_row_id=savings_header_row, MATCH(savings_min_row, $C:$C, 0), ""))), "")</f>
        <v/>
      </c>
      <c r="N134" s="51" t="str" cm="1">
        <f t="array" ref="N134">IF(is_category, IF(header_row_id=income_header_row, MATCH(income_max_row, $C:$C, 0), IF(header_row_id=expenses_header_row, MATCH(expenses_max_row, $C:$C, 0), IF(header_row_id=savings_header_row, MATCH(savings_max_row, $C:$C, 0), ""))), "")</f>
        <v/>
      </c>
      <c r="O134" s="50" t="str">
        <f t="shared" si="60"/>
        <v/>
      </c>
      <c r="P134" s="49" t="str">
        <f t="shared" ca="1" si="61"/>
        <v/>
      </c>
      <c r="Q134" s="49" t="str">
        <f t="shared" si="62"/>
        <v/>
      </c>
      <c r="R134" s="51" t="str">
        <f t="shared" ca="1" si="63"/>
        <v/>
      </c>
      <c r="S134" s="50" t="str">
        <f t="shared" si="64"/>
        <v/>
      </c>
      <c r="T134" s="49" t="str">
        <f t="shared" si="65"/>
        <v/>
      </c>
      <c r="U134" s="49" t="str">
        <f t="shared" ca="1" si="66"/>
        <v/>
      </c>
      <c r="V134" s="49" t="str">
        <f t="shared" si="67"/>
        <v/>
      </c>
      <c r="W134" s="47" t="str">
        <f t="shared" ca="1" si="68"/>
        <v/>
      </c>
      <c r="X134" s="56">
        <f t="shared" si="69"/>
        <v>-1</v>
      </c>
      <c r="Y134" s="57" t="str">
        <f t="shared" si="70"/>
        <v/>
      </c>
      <c r="Z134" s="59" t="str">
        <f t="shared" si="71"/>
        <v/>
      </c>
      <c r="AA134" s="59" t="str">
        <f t="shared" si="72"/>
        <v/>
      </c>
      <c r="AB134" s="58" t="str">
        <f t="shared" si="73"/>
        <v/>
      </c>
      <c r="AC134" s="59" t="str">
        <f t="shared" si="74"/>
        <v/>
      </c>
      <c r="AD134" s="59" t="str">
        <f t="shared" si="75"/>
        <v/>
      </c>
    </row>
    <row r="135" spans="3:30" x14ac:dyDescent="0.25">
      <c r="C135" s="4" cm="1">
        <f t="array" ref="C135">IF(C134=-1,-1, IF(C134&lt;income_max_row, C134+1, IF(C134=income_max_row, income_total_row, IF(C134=income_total_row, "/1", IF(C134="/1", expenses_header_row, IF(C134&lt;expenses_max_row, C134+1, IF(C134=expenses_max_row, expenses_total_row, IF(C134=expenses_total_row, "/2", IF(C134="/2", savings_header_row, IF(C134&lt;savings_max_row, C134+1, IF(C134=savings_max_row, savings_total_row, -1)))))))))))</f>
        <v>-1</v>
      </c>
      <c r="D135" s="5">
        <f t="shared" si="57"/>
        <v>-1</v>
      </c>
      <c r="E135" s="4" cm="1">
        <f t="array" ref="E135">1*OR(row_id=income_header_row, row_id=expenses_header_row, row_id=savings_header_row)</f>
        <v>0</v>
      </c>
      <c r="F135">
        <f t="shared" si="58"/>
        <v>0</v>
      </c>
      <c r="G135" cm="1">
        <f t="array" ref="G135">1*OR(row_id=income_total_row, row_id=expenses_total_row, row_id=savings_total_row)</f>
        <v>0</v>
      </c>
      <c r="H135" s="5">
        <f t="shared" si="59"/>
        <v>1</v>
      </c>
      <c r="I135" s="4" t="str" cm="1">
        <f t="array" ref="I135">IFERROR(INDEX('Budget Planning'!$C:$C, header_row_id), "")</f>
        <v/>
      </c>
      <c r="J135" t="str" cm="1">
        <f t="array" ref="J135">IFERROR(INDEX('Budget Planning'!$C:$C, row_id), "")</f>
        <v/>
      </c>
      <c r="K135" s="52" t="str" cm="1">
        <f t="array" ref="K13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5" s="53" t="str" cm="1">
        <f t="array" ref="L135">IF(OR(is_header, is_empty), "", INDEX('Budget Planning'!$E:$EM, row_id, MATCH(IF(selected_period="Total Year", selected_year, DATE(selected_year, selected_period, 1)), 'Budget Planning'!$E$9:$EM$9, 0)))</f>
        <v/>
      </c>
      <c r="M135" s="50" t="str" cm="1">
        <f t="array" ref="M135">IF(is_category, IF(header_row_id=income_header_row, MATCH(income_min_row, $C:$C, 0), IF(header_row_id=expenses_header_row, MATCH(expenses_min_row, $C:$C, 0), IF(header_row_id=savings_header_row, MATCH(savings_min_row, $C:$C, 0), ""))), "")</f>
        <v/>
      </c>
      <c r="N135" s="51" t="str" cm="1">
        <f t="array" ref="N135">IF(is_category, IF(header_row_id=income_header_row, MATCH(income_max_row, $C:$C, 0), IF(header_row_id=expenses_header_row, MATCH(expenses_max_row, $C:$C, 0), IF(header_row_id=savings_header_row, MATCH(savings_max_row, $C:$C, 0), ""))), "")</f>
        <v/>
      </c>
      <c r="O135" s="50" t="str">
        <f t="shared" si="60"/>
        <v/>
      </c>
      <c r="P135" s="49" t="str">
        <f t="shared" ca="1" si="61"/>
        <v/>
      </c>
      <c r="Q135" s="49" t="str">
        <f t="shared" si="62"/>
        <v/>
      </c>
      <c r="R135" s="51" t="str">
        <f t="shared" ca="1" si="63"/>
        <v/>
      </c>
      <c r="S135" s="50" t="str">
        <f t="shared" si="64"/>
        <v/>
      </c>
      <c r="T135" s="49" t="str">
        <f t="shared" si="65"/>
        <v/>
      </c>
      <c r="U135" s="49" t="str">
        <f t="shared" ca="1" si="66"/>
        <v/>
      </c>
      <c r="V135" s="49" t="str">
        <f t="shared" si="67"/>
        <v/>
      </c>
      <c r="W135" s="47" t="str">
        <f t="shared" ca="1" si="68"/>
        <v/>
      </c>
      <c r="X135" s="56">
        <f t="shared" si="69"/>
        <v>-1</v>
      </c>
      <c r="Y135" s="57" t="str">
        <f t="shared" si="70"/>
        <v/>
      </c>
      <c r="Z135" s="59" t="str">
        <f t="shared" si="71"/>
        <v/>
      </c>
      <c r="AA135" s="59" t="str">
        <f t="shared" si="72"/>
        <v/>
      </c>
      <c r="AB135" s="58" t="str">
        <f t="shared" si="73"/>
        <v/>
      </c>
      <c r="AC135" s="59" t="str">
        <f t="shared" si="74"/>
        <v/>
      </c>
      <c r="AD135" s="59" t="str">
        <f t="shared" si="75"/>
        <v/>
      </c>
    </row>
    <row r="136" spans="3:30" x14ac:dyDescent="0.25">
      <c r="C136" s="4" cm="1">
        <f t="array" ref="C136">IF(C135=-1,-1, IF(C135&lt;income_max_row, C135+1, IF(C135=income_max_row, income_total_row, IF(C135=income_total_row, "/1", IF(C135="/1", expenses_header_row, IF(C135&lt;expenses_max_row, C135+1, IF(C135=expenses_max_row, expenses_total_row, IF(C135=expenses_total_row, "/2", IF(C135="/2", savings_header_row, IF(C135&lt;savings_max_row, C135+1, IF(C135=savings_max_row, savings_total_row, -1)))))))))))</f>
        <v>-1</v>
      </c>
      <c r="D136" s="5">
        <f t="shared" si="57"/>
        <v>-1</v>
      </c>
      <c r="E136" s="4" cm="1">
        <f t="array" ref="E136">1*OR(row_id=income_header_row, row_id=expenses_header_row, row_id=savings_header_row)</f>
        <v>0</v>
      </c>
      <c r="F136">
        <f t="shared" si="58"/>
        <v>0</v>
      </c>
      <c r="G136" cm="1">
        <f t="array" ref="G136">1*OR(row_id=income_total_row, row_id=expenses_total_row, row_id=savings_total_row)</f>
        <v>0</v>
      </c>
      <c r="H136" s="5">
        <f t="shared" si="59"/>
        <v>1</v>
      </c>
      <c r="I136" s="4" t="str" cm="1">
        <f t="array" ref="I136">IFERROR(INDEX('Budget Planning'!$C:$C, header_row_id), "")</f>
        <v/>
      </c>
      <c r="J136" t="str" cm="1">
        <f t="array" ref="J136">IFERROR(INDEX('Budget Planning'!$C:$C, row_id), "")</f>
        <v/>
      </c>
      <c r="K136" s="52" t="str" cm="1">
        <f t="array" ref="K13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6" s="53" t="str" cm="1">
        <f t="array" ref="L136">IF(OR(is_header, is_empty), "", INDEX('Budget Planning'!$E:$EM, row_id, MATCH(IF(selected_period="Total Year", selected_year, DATE(selected_year, selected_period, 1)), 'Budget Planning'!$E$9:$EM$9, 0)))</f>
        <v/>
      </c>
      <c r="M136" s="50" t="str" cm="1">
        <f t="array" ref="M136">IF(is_category, IF(header_row_id=income_header_row, MATCH(income_min_row, $C:$C, 0), IF(header_row_id=expenses_header_row, MATCH(expenses_min_row, $C:$C, 0), IF(header_row_id=savings_header_row, MATCH(savings_min_row, $C:$C, 0), ""))), "")</f>
        <v/>
      </c>
      <c r="N136" s="51" t="str" cm="1">
        <f t="array" ref="N136">IF(is_category, IF(header_row_id=income_header_row, MATCH(income_max_row, $C:$C, 0), IF(header_row_id=expenses_header_row, MATCH(expenses_max_row, $C:$C, 0), IF(header_row_id=savings_header_row, MATCH(savings_max_row, $C:$C, 0), ""))), "")</f>
        <v/>
      </c>
      <c r="O136" s="50" t="str">
        <f t="shared" si="60"/>
        <v/>
      </c>
      <c r="P136" s="49" t="str">
        <f t="shared" ca="1" si="61"/>
        <v/>
      </c>
      <c r="Q136" s="49" t="str">
        <f t="shared" si="62"/>
        <v/>
      </c>
      <c r="R136" s="51" t="str">
        <f t="shared" ca="1" si="63"/>
        <v/>
      </c>
      <c r="S136" s="50" t="str">
        <f t="shared" si="64"/>
        <v/>
      </c>
      <c r="T136" s="49" t="str">
        <f t="shared" si="65"/>
        <v/>
      </c>
      <c r="U136" s="49" t="str">
        <f t="shared" ca="1" si="66"/>
        <v/>
      </c>
      <c r="V136" s="49" t="str">
        <f t="shared" si="67"/>
        <v/>
      </c>
      <c r="W136" s="47" t="str">
        <f t="shared" ca="1" si="68"/>
        <v/>
      </c>
      <c r="X136" s="56">
        <f t="shared" si="69"/>
        <v>-1</v>
      </c>
      <c r="Y136" s="57" t="str">
        <f t="shared" si="70"/>
        <v/>
      </c>
      <c r="Z136" s="59" t="str">
        <f t="shared" si="71"/>
        <v/>
      </c>
      <c r="AA136" s="59" t="str">
        <f t="shared" si="72"/>
        <v/>
      </c>
      <c r="AB136" s="58" t="str">
        <f t="shared" si="73"/>
        <v/>
      </c>
      <c r="AC136" s="59" t="str">
        <f t="shared" si="74"/>
        <v/>
      </c>
      <c r="AD136" s="59" t="str">
        <f t="shared" si="75"/>
        <v/>
      </c>
    </row>
    <row r="137" spans="3:30" x14ac:dyDescent="0.25">
      <c r="C137" s="4" cm="1">
        <f t="array" ref="C137">IF(C136=-1,-1, IF(C136&lt;income_max_row, C136+1, IF(C136=income_max_row, income_total_row, IF(C136=income_total_row, "/1", IF(C136="/1", expenses_header_row, IF(C136&lt;expenses_max_row, C136+1, IF(C136=expenses_max_row, expenses_total_row, IF(C136=expenses_total_row, "/2", IF(C136="/2", savings_header_row, IF(C136&lt;savings_max_row, C136+1, IF(C136=savings_max_row, savings_total_row, -1)))))))))))</f>
        <v>-1</v>
      </c>
      <c r="D137" s="5">
        <f t="shared" si="57"/>
        <v>-1</v>
      </c>
      <c r="E137" s="4" cm="1">
        <f t="array" ref="E137">1*OR(row_id=income_header_row, row_id=expenses_header_row, row_id=savings_header_row)</f>
        <v>0</v>
      </c>
      <c r="F137">
        <f t="shared" si="58"/>
        <v>0</v>
      </c>
      <c r="G137" cm="1">
        <f t="array" ref="G137">1*OR(row_id=income_total_row, row_id=expenses_total_row, row_id=savings_total_row)</f>
        <v>0</v>
      </c>
      <c r="H137" s="5">
        <f t="shared" si="59"/>
        <v>1</v>
      </c>
      <c r="I137" s="4" t="str" cm="1">
        <f t="array" ref="I137">IFERROR(INDEX('Budget Planning'!$C:$C, header_row_id), "")</f>
        <v/>
      </c>
      <c r="J137" t="str" cm="1">
        <f t="array" ref="J137">IFERROR(INDEX('Budget Planning'!$C:$C, row_id), "")</f>
        <v/>
      </c>
      <c r="K137" s="52" t="str" cm="1">
        <f t="array" ref="K13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7" s="53" t="str" cm="1">
        <f t="array" ref="L137">IF(OR(is_header, is_empty), "", INDEX('Budget Planning'!$E:$EM, row_id, MATCH(IF(selected_period="Total Year", selected_year, DATE(selected_year, selected_period, 1)), 'Budget Planning'!$E$9:$EM$9, 0)))</f>
        <v/>
      </c>
      <c r="M137" s="50" t="str" cm="1">
        <f t="array" ref="M137">IF(is_category, IF(header_row_id=income_header_row, MATCH(income_min_row, $C:$C, 0), IF(header_row_id=expenses_header_row, MATCH(expenses_min_row, $C:$C, 0), IF(header_row_id=savings_header_row, MATCH(savings_min_row, $C:$C, 0), ""))), "")</f>
        <v/>
      </c>
      <c r="N137" s="51" t="str" cm="1">
        <f t="array" ref="N137">IF(is_category, IF(header_row_id=income_header_row, MATCH(income_max_row, $C:$C, 0), IF(header_row_id=expenses_header_row, MATCH(expenses_max_row, $C:$C, 0), IF(header_row_id=savings_header_row, MATCH(savings_max_row, $C:$C, 0), ""))), "")</f>
        <v/>
      </c>
      <c r="O137" s="50" t="str">
        <f t="shared" si="60"/>
        <v/>
      </c>
      <c r="P137" s="49" t="str">
        <f t="shared" ca="1" si="61"/>
        <v/>
      </c>
      <c r="Q137" s="49" t="str">
        <f t="shared" si="62"/>
        <v/>
      </c>
      <c r="R137" s="51" t="str">
        <f t="shared" ca="1" si="63"/>
        <v/>
      </c>
      <c r="S137" s="50" t="str">
        <f t="shared" si="64"/>
        <v/>
      </c>
      <c r="T137" s="49" t="str">
        <f t="shared" si="65"/>
        <v/>
      </c>
      <c r="U137" s="49" t="str">
        <f t="shared" ca="1" si="66"/>
        <v/>
      </c>
      <c r="V137" s="49" t="str">
        <f t="shared" si="67"/>
        <v/>
      </c>
      <c r="W137" s="47" t="str">
        <f t="shared" ca="1" si="68"/>
        <v/>
      </c>
      <c r="X137" s="56">
        <f t="shared" si="69"/>
        <v>-1</v>
      </c>
      <c r="Y137" s="57" t="str">
        <f t="shared" si="70"/>
        <v/>
      </c>
      <c r="Z137" s="59" t="str">
        <f t="shared" si="71"/>
        <v/>
      </c>
      <c r="AA137" s="59" t="str">
        <f t="shared" si="72"/>
        <v/>
      </c>
      <c r="AB137" s="58" t="str">
        <f t="shared" si="73"/>
        <v/>
      </c>
      <c r="AC137" s="59" t="str">
        <f t="shared" si="74"/>
        <v/>
      </c>
      <c r="AD137" s="59" t="str">
        <f t="shared" si="75"/>
        <v/>
      </c>
    </row>
    <row r="138" spans="3:30" x14ac:dyDescent="0.25">
      <c r="C138" s="4" cm="1">
        <f t="array" ref="C138">IF(C137=-1,-1, IF(C137&lt;income_max_row, C137+1, IF(C137=income_max_row, income_total_row, IF(C137=income_total_row, "/1", IF(C137="/1", expenses_header_row, IF(C137&lt;expenses_max_row, C137+1, IF(C137=expenses_max_row, expenses_total_row, IF(C137=expenses_total_row, "/2", IF(C137="/2", savings_header_row, IF(C137&lt;savings_max_row, C137+1, IF(C137=savings_max_row, savings_total_row, -1)))))))))))</f>
        <v>-1</v>
      </c>
      <c r="D138" s="5">
        <f t="shared" si="57"/>
        <v>-1</v>
      </c>
      <c r="E138" s="4" cm="1">
        <f t="array" ref="E138">1*OR(row_id=income_header_row, row_id=expenses_header_row, row_id=savings_header_row)</f>
        <v>0</v>
      </c>
      <c r="F138">
        <f t="shared" si="58"/>
        <v>0</v>
      </c>
      <c r="G138" cm="1">
        <f t="array" ref="G138">1*OR(row_id=income_total_row, row_id=expenses_total_row, row_id=savings_total_row)</f>
        <v>0</v>
      </c>
      <c r="H138" s="5">
        <f t="shared" si="59"/>
        <v>1</v>
      </c>
      <c r="I138" s="4" t="str" cm="1">
        <f t="array" ref="I138">IFERROR(INDEX('Budget Planning'!$C:$C, header_row_id), "")</f>
        <v/>
      </c>
      <c r="J138" t="str" cm="1">
        <f t="array" ref="J138">IFERROR(INDEX('Budget Planning'!$C:$C, row_id), "")</f>
        <v/>
      </c>
      <c r="K138" s="52" t="str" cm="1">
        <f t="array" ref="K13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8" s="53" t="str" cm="1">
        <f t="array" ref="L138">IF(OR(is_header, is_empty), "", INDEX('Budget Planning'!$E:$EM, row_id, MATCH(IF(selected_period="Total Year", selected_year, DATE(selected_year, selected_period, 1)), 'Budget Planning'!$E$9:$EM$9, 0)))</f>
        <v/>
      </c>
      <c r="M138" s="50" t="str" cm="1">
        <f t="array" ref="M138">IF(is_category, IF(header_row_id=income_header_row, MATCH(income_min_row, $C:$C, 0), IF(header_row_id=expenses_header_row, MATCH(expenses_min_row, $C:$C, 0), IF(header_row_id=savings_header_row, MATCH(savings_min_row, $C:$C, 0), ""))), "")</f>
        <v/>
      </c>
      <c r="N138" s="51" t="str" cm="1">
        <f t="array" ref="N138">IF(is_category, IF(header_row_id=income_header_row, MATCH(income_max_row, $C:$C, 0), IF(header_row_id=expenses_header_row, MATCH(expenses_max_row, $C:$C, 0), IF(header_row_id=savings_header_row, MATCH(savings_max_row, $C:$C, 0), ""))), "")</f>
        <v/>
      </c>
      <c r="O138" s="50" t="str">
        <f t="shared" si="60"/>
        <v/>
      </c>
      <c r="P138" s="49" t="str">
        <f t="shared" ca="1" si="61"/>
        <v/>
      </c>
      <c r="Q138" s="49" t="str">
        <f t="shared" si="62"/>
        <v/>
      </c>
      <c r="R138" s="51" t="str">
        <f t="shared" ca="1" si="63"/>
        <v/>
      </c>
      <c r="S138" s="50" t="str">
        <f t="shared" si="64"/>
        <v/>
      </c>
      <c r="T138" s="49" t="str">
        <f t="shared" si="65"/>
        <v/>
      </c>
      <c r="U138" s="49" t="str">
        <f t="shared" ca="1" si="66"/>
        <v/>
      </c>
      <c r="V138" s="49" t="str">
        <f t="shared" si="67"/>
        <v/>
      </c>
      <c r="W138" s="47" t="str">
        <f t="shared" ca="1" si="68"/>
        <v/>
      </c>
      <c r="X138" s="56">
        <f t="shared" si="69"/>
        <v>-1</v>
      </c>
      <c r="Y138" s="57" t="str">
        <f t="shared" si="70"/>
        <v/>
      </c>
      <c r="Z138" s="59" t="str">
        <f t="shared" si="71"/>
        <v/>
      </c>
      <c r="AA138" s="59" t="str">
        <f t="shared" si="72"/>
        <v/>
      </c>
      <c r="AB138" s="58" t="str">
        <f t="shared" si="73"/>
        <v/>
      </c>
      <c r="AC138" s="59" t="str">
        <f t="shared" si="74"/>
        <v/>
      </c>
      <c r="AD138" s="59" t="str">
        <f t="shared" si="75"/>
        <v/>
      </c>
    </row>
    <row r="139" spans="3:30" x14ac:dyDescent="0.25">
      <c r="C139" s="4" cm="1">
        <f t="array" ref="C139">IF(C138=-1,-1, IF(C138&lt;income_max_row, C138+1, IF(C138=income_max_row, income_total_row, IF(C138=income_total_row, "/1", IF(C138="/1", expenses_header_row, IF(C138&lt;expenses_max_row, C138+1, IF(C138=expenses_max_row, expenses_total_row, IF(C138=expenses_total_row, "/2", IF(C138="/2", savings_header_row, IF(C138&lt;savings_max_row, C138+1, IF(C138=savings_max_row, savings_total_row, -1)))))))))))</f>
        <v>-1</v>
      </c>
      <c r="D139" s="5">
        <f t="shared" si="57"/>
        <v>-1</v>
      </c>
      <c r="E139" s="4" cm="1">
        <f t="array" ref="E139">1*OR(row_id=income_header_row, row_id=expenses_header_row, row_id=savings_header_row)</f>
        <v>0</v>
      </c>
      <c r="F139">
        <f t="shared" si="58"/>
        <v>0</v>
      </c>
      <c r="G139" cm="1">
        <f t="array" ref="G139">1*OR(row_id=income_total_row, row_id=expenses_total_row, row_id=savings_total_row)</f>
        <v>0</v>
      </c>
      <c r="H139" s="5">
        <f t="shared" si="59"/>
        <v>1</v>
      </c>
      <c r="I139" s="4" t="str" cm="1">
        <f t="array" ref="I139">IFERROR(INDEX('Budget Planning'!$C:$C, header_row_id), "")</f>
        <v/>
      </c>
      <c r="J139" t="str" cm="1">
        <f t="array" ref="J139">IFERROR(INDEX('Budget Planning'!$C:$C, row_id), "")</f>
        <v/>
      </c>
      <c r="K139" s="52" t="str" cm="1">
        <f t="array" ref="K13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9" s="53" t="str" cm="1">
        <f t="array" ref="L139">IF(OR(is_header, is_empty), "", INDEX('Budget Planning'!$E:$EM, row_id, MATCH(IF(selected_period="Total Year", selected_year, DATE(selected_year, selected_period, 1)), 'Budget Planning'!$E$9:$EM$9, 0)))</f>
        <v/>
      </c>
      <c r="M139" s="50" t="str" cm="1">
        <f t="array" ref="M139">IF(is_category, IF(header_row_id=income_header_row, MATCH(income_min_row, $C:$C, 0), IF(header_row_id=expenses_header_row, MATCH(expenses_min_row, $C:$C, 0), IF(header_row_id=savings_header_row, MATCH(savings_min_row, $C:$C, 0), ""))), "")</f>
        <v/>
      </c>
      <c r="N139" s="51" t="str" cm="1">
        <f t="array" ref="N139">IF(is_category, IF(header_row_id=income_header_row, MATCH(income_max_row, $C:$C, 0), IF(header_row_id=expenses_header_row, MATCH(expenses_max_row, $C:$C, 0), IF(header_row_id=savings_header_row, MATCH(savings_max_row, $C:$C, 0), ""))), "")</f>
        <v/>
      </c>
      <c r="O139" s="50" t="str">
        <f t="shared" si="60"/>
        <v/>
      </c>
      <c r="P139" s="49" t="str">
        <f t="shared" ca="1" si="61"/>
        <v/>
      </c>
      <c r="Q139" s="49" t="str">
        <f t="shared" si="62"/>
        <v/>
      </c>
      <c r="R139" s="51" t="str">
        <f t="shared" ca="1" si="63"/>
        <v/>
      </c>
      <c r="S139" s="50" t="str">
        <f t="shared" si="64"/>
        <v/>
      </c>
      <c r="T139" s="49" t="str">
        <f t="shared" si="65"/>
        <v/>
      </c>
      <c r="U139" s="49" t="str">
        <f t="shared" ca="1" si="66"/>
        <v/>
      </c>
      <c r="V139" s="49" t="str">
        <f t="shared" si="67"/>
        <v/>
      </c>
      <c r="W139" s="47" t="str">
        <f t="shared" ca="1" si="68"/>
        <v/>
      </c>
      <c r="X139" s="56">
        <f t="shared" si="69"/>
        <v>-1</v>
      </c>
      <c r="Y139" s="57" t="str">
        <f t="shared" si="70"/>
        <v/>
      </c>
      <c r="Z139" s="59" t="str">
        <f t="shared" si="71"/>
        <v/>
      </c>
      <c r="AA139" s="59" t="str">
        <f t="shared" si="72"/>
        <v/>
      </c>
      <c r="AB139" s="58" t="str">
        <f t="shared" si="73"/>
        <v/>
      </c>
      <c r="AC139" s="59" t="str">
        <f t="shared" si="74"/>
        <v/>
      </c>
      <c r="AD139" s="59" t="str">
        <f t="shared" si="75"/>
        <v/>
      </c>
    </row>
    <row r="140" spans="3:30" x14ac:dyDescent="0.25">
      <c r="C140" s="4" cm="1">
        <f t="array" ref="C140">IF(C139=-1,-1, IF(C139&lt;income_max_row, C139+1, IF(C139=income_max_row, income_total_row, IF(C139=income_total_row, "/1", IF(C139="/1", expenses_header_row, IF(C139&lt;expenses_max_row, C139+1, IF(C139=expenses_max_row, expenses_total_row, IF(C139=expenses_total_row, "/2", IF(C139="/2", savings_header_row, IF(C139&lt;savings_max_row, C139+1, IF(C139=savings_max_row, savings_total_row, -1)))))))))))</f>
        <v>-1</v>
      </c>
      <c r="D140" s="5">
        <f t="shared" si="57"/>
        <v>-1</v>
      </c>
      <c r="E140" s="4" cm="1">
        <f t="array" ref="E140">1*OR(row_id=income_header_row, row_id=expenses_header_row, row_id=savings_header_row)</f>
        <v>0</v>
      </c>
      <c r="F140">
        <f t="shared" si="58"/>
        <v>0</v>
      </c>
      <c r="G140" cm="1">
        <f t="array" ref="G140">1*OR(row_id=income_total_row, row_id=expenses_total_row, row_id=savings_total_row)</f>
        <v>0</v>
      </c>
      <c r="H140" s="5">
        <f t="shared" si="59"/>
        <v>1</v>
      </c>
      <c r="I140" s="4" t="str" cm="1">
        <f t="array" ref="I140">IFERROR(INDEX('Budget Planning'!$C:$C, header_row_id), "")</f>
        <v/>
      </c>
      <c r="J140" t="str" cm="1">
        <f t="array" ref="J140">IFERROR(INDEX('Budget Planning'!$C:$C, row_id), "")</f>
        <v/>
      </c>
      <c r="K140" s="52" t="str" cm="1">
        <f t="array" ref="K14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0" s="53" t="str" cm="1">
        <f t="array" ref="L140">IF(OR(is_header, is_empty), "", INDEX('Budget Planning'!$E:$EM, row_id, MATCH(IF(selected_period="Total Year", selected_year, DATE(selected_year, selected_period, 1)), 'Budget Planning'!$E$9:$EM$9, 0)))</f>
        <v/>
      </c>
      <c r="M140" s="50" t="str" cm="1">
        <f t="array" ref="M140">IF(is_category, IF(header_row_id=income_header_row, MATCH(income_min_row, $C:$C, 0), IF(header_row_id=expenses_header_row, MATCH(expenses_min_row, $C:$C, 0), IF(header_row_id=savings_header_row, MATCH(savings_min_row, $C:$C, 0), ""))), "")</f>
        <v/>
      </c>
      <c r="N140" s="51" t="str" cm="1">
        <f t="array" ref="N140">IF(is_category, IF(header_row_id=income_header_row, MATCH(income_max_row, $C:$C, 0), IF(header_row_id=expenses_header_row, MATCH(expenses_max_row, $C:$C, 0), IF(header_row_id=savings_header_row, MATCH(savings_max_row, $C:$C, 0), ""))), "")</f>
        <v/>
      </c>
      <c r="O140" s="50" t="str">
        <f t="shared" si="60"/>
        <v/>
      </c>
      <c r="P140" s="49" t="str">
        <f t="shared" ca="1" si="61"/>
        <v/>
      </c>
      <c r="Q140" s="49" t="str">
        <f t="shared" si="62"/>
        <v/>
      </c>
      <c r="R140" s="51" t="str">
        <f t="shared" ca="1" si="63"/>
        <v/>
      </c>
      <c r="S140" s="50" t="str">
        <f t="shared" si="64"/>
        <v/>
      </c>
      <c r="T140" s="49" t="str">
        <f t="shared" si="65"/>
        <v/>
      </c>
      <c r="U140" s="49" t="str">
        <f t="shared" ca="1" si="66"/>
        <v/>
      </c>
      <c r="V140" s="49" t="str">
        <f t="shared" si="67"/>
        <v/>
      </c>
      <c r="W140" s="47" t="str">
        <f t="shared" ca="1" si="68"/>
        <v/>
      </c>
      <c r="X140" s="56">
        <f t="shared" si="69"/>
        <v>-1</v>
      </c>
      <c r="Y140" s="57" t="str">
        <f t="shared" si="70"/>
        <v/>
      </c>
      <c r="Z140" s="59" t="str">
        <f t="shared" si="71"/>
        <v/>
      </c>
      <c r="AA140" s="59" t="str">
        <f t="shared" si="72"/>
        <v/>
      </c>
      <c r="AB140" s="58" t="str">
        <f t="shared" si="73"/>
        <v/>
      </c>
      <c r="AC140" s="59" t="str">
        <f t="shared" si="74"/>
        <v/>
      </c>
      <c r="AD140" s="59" t="str">
        <f t="shared" si="75"/>
        <v/>
      </c>
    </row>
    <row r="141" spans="3:30" x14ac:dyDescent="0.25">
      <c r="C141" s="4" cm="1">
        <f t="array" ref="C141">IF(C140=-1,-1, IF(C140&lt;income_max_row, C140+1, IF(C140=income_max_row, income_total_row, IF(C140=income_total_row, "/1", IF(C140="/1", expenses_header_row, IF(C140&lt;expenses_max_row, C140+1, IF(C140=expenses_max_row, expenses_total_row, IF(C140=expenses_total_row, "/2", IF(C140="/2", savings_header_row, IF(C140&lt;savings_max_row, C140+1, IF(C140=savings_max_row, savings_total_row, -1)))))))))))</f>
        <v>-1</v>
      </c>
      <c r="D141" s="5">
        <f t="shared" ref="D141:D172" si="76">IF(is_header, row_id, IF(NOT(is_empty), D140, -1))</f>
        <v>-1</v>
      </c>
      <c r="E141" s="4" cm="1">
        <f t="array" ref="E141">1*OR(row_id=income_header_row, row_id=expenses_header_row, row_id=savings_header_row)</f>
        <v>0</v>
      </c>
      <c r="F141">
        <f t="shared" ref="F141:F172" si="77">1*NOT(OR(is_header, is_total, is_empty))</f>
        <v>0</v>
      </c>
      <c r="G141" cm="1">
        <f t="array" ref="G141">1*OR(row_id=income_total_row, row_id=expenses_total_row, row_id=savings_total_row)</f>
        <v>0</v>
      </c>
      <c r="H141" s="5">
        <f t="shared" ref="H141:H172" si="78">1*OR(row_id="/1", row_id="/2", row_id=-1)</f>
        <v>1</v>
      </c>
      <c r="I141" s="4" t="str" cm="1">
        <f t="array" ref="I141">IFERROR(INDEX('Budget Planning'!$C:$C, header_row_id), "")</f>
        <v/>
      </c>
      <c r="J141" t="str" cm="1">
        <f t="array" ref="J141">IFERROR(INDEX('Budget Planning'!$C:$C, row_id), "")</f>
        <v/>
      </c>
      <c r="K141" s="52" t="str" cm="1">
        <f t="array" ref="K14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1" s="53" t="str" cm="1">
        <f t="array" ref="L141">IF(OR(is_header, is_empty), "", INDEX('Budget Planning'!$E:$EM, row_id, MATCH(IF(selected_period="Total Year", selected_year, DATE(selected_year, selected_period, 1)), 'Budget Planning'!$E$9:$EM$9, 0)))</f>
        <v/>
      </c>
      <c r="M141" s="50" t="str" cm="1">
        <f t="array" ref="M141">IF(is_category, IF(header_row_id=income_header_row, MATCH(income_min_row, $C:$C, 0), IF(header_row_id=expenses_header_row, MATCH(expenses_min_row, $C:$C, 0), IF(header_row_id=savings_header_row, MATCH(savings_min_row, $C:$C, 0), ""))), "")</f>
        <v/>
      </c>
      <c r="N141" s="51" t="str" cm="1">
        <f t="array" ref="N141">IF(is_category, IF(header_row_id=income_header_row, MATCH(income_max_row, $C:$C, 0), IF(header_row_id=expenses_header_row, MATCH(expenses_max_row, $C:$C, 0), IF(header_row_id=savings_header_row, MATCH(savings_max_row, $C:$C, 0), ""))), "")</f>
        <v/>
      </c>
      <c r="O141" s="50" t="str">
        <f t="shared" ref="O141:O172" si="79">IF(is_category, ADDRESS(sort_min_row, COLUMN(tracked)) &amp; ":" &amp; ADDRESS(sort_max_row, COLUMN(tracked)), "")</f>
        <v/>
      </c>
      <c r="P141" s="49" t="str">
        <f t="shared" ref="P141:P172" ca="1" si="80">IF(is_category, RANK(tracked, INDIRECT(tracked_range), 0), "")</f>
        <v/>
      </c>
      <c r="Q141" s="49" t="str">
        <f t="shared" ref="Q141:Q172" si="81">IF(is_category, ADDRESS(sort_min_row, COLUMN(budget)) &amp; ":" &amp; ADDRESS(sort_max_row, COLUMN(budget)), "")</f>
        <v/>
      </c>
      <c r="R141" s="51" t="str">
        <f t="shared" ref="R141:R172" ca="1" si="82">IF(is_category, RANK(budget, INDIRECT(budget_range), 0), "")</f>
        <v/>
      </c>
      <c r="S141" s="50" t="str">
        <f t="shared" ref="S141:S172" si="83">IF(is_category, _xlfn.NUMBERVALUE(tracker_rank &amp; budget_rank), "")</f>
        <v/>
      </c>
      <c r="T141" s="49" t="str">
        <f t="shared" ref="T141:T172" si="84">IF(is_category, ADDRESS(sort_min_row, COLUMN(combined_rank)) &amp; ":" &amp; ADDRESS(sort_max_row, COLUMN(combined_rank)), "")</f>
        <v/>
      </c>
      <c r="U141" s="49" t="str">
        <f t="shared" ref="U141:U172" ca="1" si="85">IF(is_category, RANK(combined_rank, INDIRECT(combined_rank_range), 1), "")</f>
        <v/>
      </c>
      <c r="V141" s="49" t="str">
        <f t="shared" ref="V141:V172" si="86">IF(is_category, ADDRESS(sort_min_row, COLUMN(combined_rank_norm)) &amp; ":" &amp; ADDRESS(ROW(), COLUMN(combined_rank_norm)), "")</f>
        <v/>
      </c>
      <c r="W141" s="47" t="str">
        <f t="shared" ref="W141:W172" ca="1" si="87">IF(is_category, combined_rank_norm + COUNTIF(INDIRECT(combined_rank_norm_run_range), combined_rank_norm)-1, "")</f>
        <v/>
      </c>
      <c r="X141" s="56">
        <f t="shared" ref="X141:X172" si="88">IF(is_category, header_row_id + combined_rank_unique, row_id)</f>
        <v>-1</v>
      </c>
      <c r="Y141" s="57" t="str">
        <f t="shared" ref="Y141:Y172" si="89">IF(is_empty, "", INDEX($J:$J, MATCH(row_id, $X:$X, 0)))</f>
        <v/>
      </c>
      <c r="Z141" s="59" t="str">
        <f t="shared" ref="Z141:Z172" si="90">IF(is_empty, "", IF(is_header, "Tracked", INDEX($K:$K, MATCH(row_id, $X:$X, 0))))</f>
        <v/>
      </c>
      <c r="AA141" s="59" t="str">
        <f t="shared" ref="AA141:AA172" si="91">IF(is_empty, "", IF(is_header, "Budget", INDEX($L:$L, MATCH(row_id, $X:$X, 0))))</f>
        <v/>
      </c>
      <c r="AB141" s="58" t="str">
        <f t="shared" ref="AB141:AB172" si="92">IF(is_empty, "", IF(is_header, "% Compl.", IFERROR(out_tracked / out_budget, "-")))</f>
        <v/>
      </c>
      <c r="AC141" s="59" t="str">
        <f t="shared" ref="AC141:AC172" si="93">IF(is_empty, "", IF(is_header, "Remaining", IF(out_budget - out_tracked &gt; 0, out_budget - out_tracked, 0)))</f>
        <v/>
      </c>
      <c r="AD141" s="59" t="str">
        <f t="shared" ref="AD141:AD172" si="94">IF(is_empty, "", IF(is_header, "Excess", IF(out_budget - out_tracked &lt; 0, out_tracked - out_budget, 0)))</f>
        <v/>
      </c>
    </row>
    <row r="142" spans="3:30" x14ac:dyDescent="0.25">
      <c r="C142" s="4" cm="1">
        <f t="array" ref="C142">IF(C141=-1,-1, IF(C141&lt;income_max_row, C141+1, IF(C141=income_max_row, income_total_row, IF(C141=income_total_row, "/1", IF(C141="/1", expenses_header_row, IF(C141&lt;expenses_max_row, C141+1, IF(C141=expenses_max_row, expenses_total_row, IF(C141=expenses_total_row, "/2", IF(C141="/2", savings_header_row, IF(C141&lt;savings_max_row, C141+1, IF(C141=savings_max_row, savings_total_row, -1)))))))))))</f>
        <v>-1</v>
      </c>
      <c r="D142" s="5">
        <f t="shared" si="76"/>
        <v>-1</v>
      </c>
      <c r="E142" s="4" cm="1">
        <f t="array" ref="E142">1*OR(row_id=income_header_row, row_id=expenses_header_row, row_id=savings_header_row)</f>
        <v>0</v>
      </c>
      <c r="F142">
        <f t="shared" si="77"/>
        <v>0</v>
      </c>
      <c r="G142" cm="1">
        <f t="array" ref="G142">1*OR(row_id=income_total_row, row_id=expenses_total_row, row_id=savings_total_row)</f>
        <v>0</v>
      </c>
      <c r="H142" s="5">
        <f t="shared" si="78"/>
        <v>1</v>
      </c>
      <c r="I142" s="4" t="str" cm="1">
        <f t="array" ref="I142">IFERROR(INDEX('Budget Planning'!$C:$C, header_row_id), "")</f>
        <v/>
      </c>
      <c r="J142" t="str" cm="1">
        <f t="array" ref="J142">IFERROR(INDEX('Budget Planning'!$C:$C, row_id), "")</f>
        <v/>
      </c>
      <c r="K142" s="52" t="str" cm="1">
        <f t="array" ref="K14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2" s="53" t="str" cm="1">
        <f t="array" ref="L142">IF(OR(is_header, is_empty), "", INDEX('Budget Planning'!$E:$EM, row_id, MATCH(IF(selected_period="Total Year", selected_year, DATE(selected_year, selected_period, 1)), 'Budget Planning'!$E$9:$EM$9, 0)))</f>
        <v/>
      </c>
      <c r="M142" s="50" t="str" cm="1">
        <f t="array" ref="M142">IF(is_category, IF(header_row_id=income_header_row, MATCH(income_min_row, $C:$C, 0), IF(header_row_id=expenses_header_row, MATCH(expenses_min_row, $C:$C, 0), IF(header_row_id=savings_header_row, MATCH(savings_min_row, $C:$C, 0), ""))), "")</f>
        <v/>
      </c>
      <c r="N142" s="51" t="str" cm="1">
        <f t="array" ref="N142">IF(is_category, IF(header_row_id=income_header_row, MATCH(income_max_row, $C:$C, 0), IF(header_row_id=expenses_header_row, MATCH(expenses_max_row, $C:$C, 0), IF(header_row_id=savings_header_row, MATCH(savings_max_row, $C:$C, 0), ""))), "")</f>
        <v/>
      </c>
      <c r="O142" s="50" t="str">
        <f t="shared" si="79"/>
        <v/>
      </c>
      <c r="P142" s="49" t="str">
        <f t="shared" ca="1" si="80"/>
        <v/>
      </c>
      <c r="Q142" s="49" t="str">
        <f t="shared" si="81"/>
        <v/>
      </c>
      <c r="R142" s="51" t="str">
        <f t="shared" ca="1" si="82"/>
        <v/>
      </c>
      <c r="S142" s="50" t="str">
        <f t="shared" si="83"/>
        <v/>
      </c>
      <c r="T142" s="49" t="str">
        <f t="shared" si="84"/>
        <v/>
      </c>
      <c r="U142" s="49" t="str">
        <f t="shared" ca="1" si="85"/>
        <v/>
      </c>
      <c r="V142" s="49" t="str">
        <f t="shared" si="86"/>
        <v/>
      </c>
      <c r="W142" s="47" t="str">
        <f t="shared" ca="1" si="87"/>
        <v/>
      </c>
      <c r="X142" s="56">
        <f t="shared" si="88"/>
        <v>-1</v>
      </c>
      <c r="Y142" s="57" t="str">
        <f t="shared" si="89"/>
        <v/>
      </c>
      <c r="Z142" s="59" t="str">
        <f t="shared" si="90"/>
        <v/>
      </c>
      <c r="AA142" s="59" t="str">
        <f t="shared" si="91"/>
        <v/>
      </c>
      <c r="AB142" s="58" t="str">
        <f t="shared" si="92"/>
        <v/>
      </c>
      <c r="AC142" s="59" t="str">
        <f t="shared" si="93"/>
        <v/>
      </c>
      <c r="AD142" s="59" t="str">
        <f t="shared" si="94"/>
        <v/>
      </c>
    </row>
    <row r="143" spans="3:30" x14ac:dyDescent="0.25">
      <c r="C143" s="4" cm="1">
        <f t="array" ref="C143">IF(C142=-1,-1, IF(C142&lt;income_max_row, C142+1, IF(C142=income_max_row, income_total_row, IF(C142=income_total_row, "/1", IF(C142="/1", expenses_header_row, IF(C142&lt;expenses_max_row, C142+1, IF(C142=expenses_max_row, expenses_total_row, IF(C142=expenses_total_row, "/2", IF(C142="/2", savings_header_row, IF(C142&lt;savings_max_row, C142+1, IF(C142=savings_max_row, savings_total_row, -1)))))))))))</f>
        <v>-1</v>
      </c>
      <c r="D143" s="5">
        <f t="shared" si="76"/>
        <v>-1</v>
      </c>
      <c r="E143" s="4" cm="1">
        <f t="array" ref="E143">1*OR(row_id=income_header_row, row_id=expenses_header_row, row_id=savings_header_row)</f>
        <v>0</v>
      </c>
      <c r="F143">
        <f t="shared" si="77"/>
        <v>0</v>
      </c>
      <c r="G143" cm="1">
        <f t="array" ref="G143">1*OR(row_id=income_total_row, row_id=expenses_total_row, row_id=savings_total_row)</f>
        <v>0</v>
      </c>
      <c r="H143" s="5">
        <f t="shared" si="78"/>
        <v>1</v>
      </c>
      <c r="I143" s="4" t="str" cm="1">
        <f t="array" ref="I143">IFERROR(INDEX('Budget Planning'!$C:$C, header_row_id), "")</f>
        <v/>
      </c>
      <c r="J143" t="str" cm="1">
        <f t="array" ref="J143">IFERROR(INDEX('Budget Planning'!$C:$C, row_id), "")</f>
        <v/>
      </c>
      <c r="K143" s="52" t="str" cm="1">
        <f t="array" ref="K14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3" s="53" t="str" cm="1">
        <f t="array" ref="L143">IF(OR(is_header, is_empty), "", INDEX('Budget Planning'!$E:$EM, row_id, MATCH(IF(selected_period="Total Year", selected_year, DATE(selected_year, selected_period, 1)), 'Budget Planning'!$E$9:$EM$9, 0)))</f>
        <v/>
      </c>
      <c r="M143" s="50" t="str" cm="1">
        <f t="array" ref="M143">IF(is_category, IF(header_row_id=income_header_row, MATCH(income_min_row, $C:$C, 0), IF(header_row_id=expenses_header_row, MATCH(expenses_min_row, $C:$C, 0), IF(header_row_id=savings_header_row, MATCH(savings_min_row, $C:$C, 0), ""))), "")</f>
        <v/>
      </c>
      <c r="N143" s="51" t="str" cm="1">
        <f t="array" ref="N143">IF(is_category, IF(header_row_id=income_header_row, MATCH(income_max_row, $C:$C, 0), IF(header_row_id=expenses_header_row, MATCH(expenses_max_row, $C:$C, 0), IF(header_row_id=savings_header_row, MATCH(savings_max_row, $C:$C, 0), ""))), "")</f>
        <v/>
      </c>
      <c r="O143" s="50" t="str">
        <f t="shared" si="79"/>
        <v/>
      </c>
      <c r="P143" s="49" t="str">
        <f t="shared" ca="1" si="80"/>
        <v/>
      </c>
      <c r="Q143" s="49" t="str">
        <f t="shared" si="81"/>
        <v/>
      </c>
      <c r="R143" s="51" t="str">
        <f t="shared" ca="1" si="82"/>
        <v/>
      </c>
      <c r="S143" s="50" t="str">
        <f t="shared" si="83"/>
        <v/>
      </c>
      <c r="T143" s="49" t="str">
        <f t="shared" si="84"/>
        <v/>
      </c>
      <c r="U143" s="49" t="str">
        <f t="shared" ca="1" si="85"/>
        <v/>
      </c>
      <c r="V143" s="49" t="str">
        <f t="shared" si="86"/>
        <v/>
      </c>
      <c r="W143" s="47" t="str">
        <f t="shared" ca="1" si="87"/>
        <v/>
      </c>
      <c r="X143" s="56">
        <f t="shared" si="88"/>
        <v>-1</v>
      </c>
      <c r="Y143" s="57" t="str">
        <f t="shared" si="89"/>
        <v/>
      </c>
      <c r="Z143" s="59" t="str">
        <f t="shared" si="90"/>
        <v/>
      </c>
      <c r="AA143" s="59" t="str">
        <f t="shared" si="91"/>
        <v/>
      </c>
      <c r="AB143" s="58" t="str">
        <f t="shared" si="92"/>
        <v/>
      </c>
      <c r="AC143" s="59" t="str">
        <f t="shared" si="93"/>
        <v/>
      </c>
      <c r="AD143" s="59" t="str">
        <f t="shared" si="94"/>
        <v/>
      </c>
    </row>
    <row r="144" spans="3:30" x14ac:dyDescent="0.25">
      <c r="C144" s="4" cm="1">
        <f t="array" ref="C144">IF(C143=-1,-1, IF(C143&lt;income_max_row, C143+1, IF(C143=income_max_row, income_total_row, IF(C143=income_total_row, "/1", IF(C143="/1", expenses_header_row, IF(C143&lt;expenses_max_row, C143+1, IF(C143=expenses_max_row, expenses_total_row, IF(C143=expenses_total_row, "/2", IF(C143="/2", savings_header_row, IF(C143&lt;savings_max_row, C143+1, IF(C143=savings_max_row, savings_total_row, -1)))))))))))</f>
        <v>-1</v>
      </c>
      <c r="D144" s="5">
        <f t="shared" si="76"/>
        <v>-1</v>
      </c>
      <c r="E144" s="4" cm="1">
        <f t="array" ref="E144">1*OR(row_id=income_header_row, row_id=expenses_header_row, row_id=savings_header_row)</f>
        <v>0</v>
      </c>
      <c r="F144">
        <f t="shared" si="77"/>
        <v>0</v>
      </c>
      <c r="G144" cm="1">
        <f t="array" ref="G144">1*OR(row_id=income_total_row, row_id=expenses_total_row, row_id=savings_total_row)</f>
        <v>0</v>
      </c>
      <c r="H144" s="5">
        <f t="shared" si="78"/>
        <v>1</v>
      </c>
      <c r="I144" s="4" t="str" cm="1">
        <f t="array" ref="I144">IFERROR(INDEX('Budget Planning'!$C:$C, header_row_id), "")</f>
        <v/>
      </c>
      <c r="J144" t="str" cm="1">
        <f t="array" ref="J144">IFERROR(INDEX('Budget Planning'!$C:$C, row_id), "")</f>
        <v/>
      </c>
      <c r="K144" s="52" t="str" cm="1">
        <f t="array" ref="K14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4" s="53" t="str" cm="1">
        <f t="array" ref="L144">IF(OR(is_header, is_empty), "", INDEX('Budget Planning'!$E:$EM, row_id, MATCH(IF(selected_period="Total Year", selected_year, DATE(selected_year, selected_period, 1)), 'Budget Planning'!$E$9:$EM$9, 0)))</f>
        <v/>
      </c>
      <c r="M144" s="50" t="str" cm="1">
        <f t="array" ref="M144">IF(is_category, IF(header_row_id=income_header_row, MATCH(income_min_row, $C:$C, 0), IF(header_row_id=expenses_header_row, MATCH(expenses_min_row, $C:$C, 0), IF(header_row_id=savings_header_row, MATCH(savings_min_row, $C:$C, 0), ""))), "")</f>
        <v/>
      </c>
      <c r="N144" s="51" t="str" cm="1">
        <f t="array" ref="N144">IF(is_category, IF(header_row_id=income_header_row, MATCH(income_max_row, $C:$C, 0), IF(header_row_id=expenses_header_row, MATCH(expenses_max_row, $C:$C, 0), IF(header_row_id=savings_header_row, MATCH(savings_max_row, $C:$C, 0), ""))), "")</f>
        <v/>
      </c>
      <c r="O144" s="50" t="str">
        <f t="shared" si="79"/>
        <v/>
      </c>
      <c r="P144" s="49" t="str">
        <f t="shared" ca="1" si="80"/>
        <v/>
      </c>
      <c r="Q144" s="49" t="str">
        <f t="shared" si="81"/>
        <v/>
      </c>
      <c r="R144" s="51" t="str">
        <f t="shared" ca="1" si="82"/>
        <v/>
      </c>
      <c r="S144" s="50" t="str">
        <f t="shared" si="83"/>
        <v/>
      </c>
      <c r="T144" s="49" t="str">
        <f t="shared" si="84"/>
        <v/>
      </c>
      <c r="U144" s="49" t="str">
        <f t="shared" ca="1" si="85"/>
        <v/>
      </c>
      <c r="V144" s="49" t="str">
        <f t="shared" si="86"/>
        <v/>
      </c>
      <c r="W144" s="47" t="str">
        <f t="shared" ca="1" si="87"/>
        <v/>
      </c>
      <c r="X144" s="56">
        <f t="shared" si="88"/>
        <v>-1</v>
      </c>
      <c r="Y144" s="57" t="str">
        <f t="shared" si="89"/>
        <v/>
      </c>
      <c r="Z144" s="59" t="str">
        <f t="shared" si="90"/>
        <v/>
      </c>
      <c r="AA144" s="59" t="str">
        <f t="shared" si="91"/>
        <v/>
      </c>
      <c r="AB144" s="58" t="str">
        <f t="shared" si="92"/>
        <v/>
      </c>
      <c r="AC144" s="59" t="str">
        <f t="shared" si="93"/>
        <v/>
      </c>
      <c r="AD144" s="59" t="str">
        <f t="shared" si="94"/>
        <v/>
      </c>
    </row>
    <row r="145" spans="3:30" x14ac:dyDescent="0.25">
      <c r="C145" s="4" cm="1">
        <f t="array" ref="C145">IF(C144=-1,-1, IF(C144&lt;income_max_row, C144+1, IF(C144=income_max_row, income_total_row, IF(C144=income_total_row, "/1", IF(C144="/1", expenses_header_row, IF(C144&lt;expenses_max_row, C144+1, IF(C144=expenses_max_row, expenses_total_row, IF(C144=expenses_total_row, "/2", IF(C144="/2", savings_header_row, IF(C144&lt;savings_max_row, C144+1, IF(C144=savings_max_row, savings_total_row, -1)))))))))))</f>
        <v>-1</v>
      </c>
      <c r="D145" s="5">
        <f t="shared" si="76"/>
        <v>-1</v>
      </c>
      <c r="E145" s="4" cm="1">
        <f t="array" ref="E145">1*OR(row_id=income_header_row, row_id=expenses_header_row, row_id=savings_header_row)</f>
        <v>0</v>
      </c>
      <c r="F145">
        <f t="shared" si="77"/>
        <v>0</v>
      </c>
      <c r="G145" cm="1">
        <f t="array" ref="G145">1*OR(row_id=income_total_row, row_id=expenses_total_row, row_id=savings_total_row)</f>
        <v>0</v>
      </c>
      <c r="H145" s="5">
        <f t="shared" si="78"/>
        <v>1</v>
      </c>
      <c r="I145" s="4" t="str" cm="1">
        <f t="array" ref="I145">IFERROR(INDEX('Budget Planning'!$C:$C, header_row_id), "")</f>
        <v/>
      </c>
      <c r="J145" t="str" cm="1">
        <f t="array" ref="J145">IFERROR(INDEX('Budget Planning'!$C:$C, row_id), "")</f>
        <v/>
      </c>
      <c r="K145" s="52" t="str" cm="1">
        <f t="array" ref="K14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5" s="53" t="str" cm="1">
        <f t="array" ref="L145">IF(OR(is_header, is_empty), "", INDEX('Budget Planning'!$E:$EM, row_id, MATCH(IF(selected_period="Total Year", selected_year, DATE(selected_year, selected_period, 1)), 'Budget Planning'!$E$9:$EM$9, 0)))</f>
        <v/>
      </c>
      <c r="M145" s="50" t="str" cm="1">
        <f t="array" ref="M145">IF(is_category, IF(header_row_id=income_header_row, MATCH(income_min_row, $C:$C, 0), IF(header_row_id=expenses_header_row, MATCH(expenses_min_row, $C:$C, 0), IF(header_row_id=savings_header_row, MATCH(savings_min_row, $C:$C, 0), ""))), "")</f>
        <v/>
      </c>
      <c r="N145" s="51" t="str" cm="1">
        <f t="array" ref="N145">IF(is_category, IF(header_row_id=income_header_row, MATCH(income_max_row, $C:$C, 0), IF(header_row_id=expenses_header_row, MATCH(expenses_max_row, $C:$C, 0), IF(header_row_id=savings_header_row, MATCH(savings_max_row, $C:$C, 0), ""))), "")</f>
        <v/>
      </c>
      <c r="O145" s="50" t="str">
        <f t="shared" si="79"/>
        <v/>
      </c>
      <c r="P145" s="49" t="str">
        <f t="shared" ca="1" si="80"/>
        <v/>
      </c>
      <c r="Q145" s="49" t="str">
        <f t="shared" si="81"/>
        <v/>
      </c>
      <c r="R145" s="51" t="str">
        <f t="shared" ca="1" si="82"/>
        <v/>
      </c>
      <c r="S145" s="50" t="str">
        <f t="shared" si="83"/>
        <v/>
      </c>
      <c r="T145" s="49" t="str">
        <f t="shared" si="84"/>
        <v/>
      </c>
      <c r="U145" s="49" t="str">
        <f t="shared" ca="1" si="85"/>
        <v/>
      </c>
      <c r="V145" s="49" t="str">
        <f t="shared" si="86"/>
        <v/>
      </c>
      <c r="W145" s="47" t="str">
        <f t="shared" ca="1" si="87"/>
        <v/>
      </c>
      <c r="X145" s="56">
        <f t="shared" si="88"/>
        <v>-1</v>
      </c>
      <c r="Y145" s="57" t="str">
        <f t="shared" si="89"/>
        <v/>
      </c>
      <c r="Z145" s="59" t="str">
        <f t="shared" si="90"/>
        <v/>
      </c>
      <c r="AA145" s="59" t="str">
        <f t="shared" si="91"/>
        <v/>
      </c>
      <c r="AB145" s="58" t="str">
        <f t="shared" si="92"/>
        <v/>
      </c>
      <c r="AC145" s="59" t="str">
        <f t="shared" si="93"/>
        <v/>
      </c>
      <c r="AD145" s="59" t="str">
        <f t="shared" si="94"/>
        <v/>
      </c>
    </row>
    <row r="146" spans="3:30" x14ac:dyDescent="0.25">
      <c r="C146" s="4" cm="1">
        <f t="array" ref="C146">IF(C145=-1,-1, IF(C145&lt;income_max_row, C145+1, IF(C145=income_max_row, income_total_row, IF(C145=income_total_row, "/1", IF(C145="/1", expenses_header_row, IF(C145&lt;expenses_max_row, C145+1, IF(C145=expenses_max_row, expenses_total_row, IF(C145=expenses_total_row, "/2", IF(C145="/2", savings_header_row, IF(C145&lt;savings_max_row, C145+1, IF(C145=savings_max_row, savings_total_row, -1)))))))))))</f>
        <v>-1</v>
      </c>
      <c r="D146" s="5">
        <f t="shared" si="76"/>
        <v>-1</v>
      </c>
      <c r="E146" s="4" cm="1">
        <f t="array" ref="E146">1*OR(row_id=income_header_row, row_id=expenses_header_row, row_id=savings_header_row)</f>
        <v>0</v>
      </c>
      <c r="F146">
        <f t="shared" si="77"/>
        <v>0</v>
      </c>
      <c r="G146" cm="1">
        <f t="array" ref="G146">1*OR(row_id=income_total_row, row_id=expenses_total_row, row_id=savings_total_row)</f>
        <v>0</v>
      </c>
      <c r="H146" s="5">
        <f t="shared" si="78"/>
        <v>1</v>
      </c>
      <c r="I146" s="4" t="str" cm="1">
        <f t="array" ref="I146">IFERROR(INDEX('Budget Planning'!$C:$C, header_row_id), "")</f>
        <v/>
      </c>
      <c r="J146" t="str" cm="1">
        <f t="array" ref="J146">IFERROR(INDEX('Budget Planning'!$C:$C, row_id), "")</f>
        <v/>
      </c>
      <c r="K146" s="52" t="str" cm="1">
        <f t="array" ref="K14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6" s="53" t="str" cm="1">
        <f t="array" ref="L146">IF(OR(is_header, is_empty), "", INDEX('Budget Planning'!$E:$EM, row_id, MATCH(IF(selected_period="Total Year", selected_year, DATE(selected_year, selected_period, 1)), 'Budget Planning'!$E$9:$EM$9, 0)))</f>
        <v/>
      </c>
      <c r="M146" s="50" t="str" cm="1">
        <f t="array" ref="M146">IF(is_category, IF(header_row_id=income_header_row, MATCH(income_min_row, $C:$C, 0), IF(header_row_id=expenses_header_row, MATCH(expenses_min_row, $C:$C, 0), IF(header_row_id=savings_header_row, MATCH(savings_min_row, $C:$C, 0), ""))), "")</f>
        <v/>
      </c>
      <c r="N146" s="51" t="str" cm="1">
        <f t="array" ref="N146">IF(is_category, IF(header_row_id=income_header_row, MATCH(income_max_row, $C:$C, 0), IF(header_row_id=expenses_header_row, MATCH(expenses_max_row, $C:$C, 0), IF(header_row_id=savings_header_row, MATCH(savings_max_row, $C:$C, 0), ""))), "")</f>
        <v/>
      </c>
      <c r="O146" s="50" t="str">
        <f t="shared" si="79"/>
        <v/>
      </c>
      <c r="P146" s="49" t="str">
        <f t="shared" ca="1" si="80"/>
        <v/>
      </c>
      <c r="Q146" s="49" t="str">
        <f t="shared" si="81"/>
        <v/>
      </c>
      <c r="R146" s="51" t="str">
        <f t="shared" ca="1" si="82"/>
        <v/>
      </c>
      <c r="S146" s="50" t="str">
        <f t="shared" si="83"/>
        <v/>
      </c>
      <c r="T146" s="49" t="str">
        <f t="shared" si="84"/>
        <v/>
      </c>
      <c r="U146" s="49" t="str">
        <f t="shared" ca="1" si="85"/>
        <v/>
      </c>
      <c r="V146" s="49" t="str">
        <f t="shared" si="86"/>
        <v/>
      </c>
      <c r="W146" s="47" t="str">
        <f t="shared" ca="1" si="87"/>
        <v/>
      </c>
      <c r="X146" s="56">
        <f t="shared" si="88"/>
        <v>-1</v>
      </c>
      <c r="Y146" s="57" t="str">
        <f t="shared" si="89"/>
        <v/>
      </c>
      <c r="Z146" s="59" t="str">
        <f t="shared" si="90"/>
        <v/>
      </c>
      <c r="AA146" s="59" t="str">
        <f t="shared" si="91"/>
        <v/>
      </c>
      <c r="AB146" s="58" t="str">
        <f t="shared" si="92"/>
        <v/>
      </c>
      <c r="AC146" s="59" t="str">
        <f t="shared" si="93"/>
        <v/>
      </c>
      <c r="AD146" s="59" t="str">
        <f t="shared" si="94"/>
        <v/>
      </c>
    </row>
    <row r="147" spans="3:30" x14ac:dyDescent="0.25">
      <c r="C147" s="4" cm="1">
        <f t="array" ref="C147">IF(C146=-1,-1, IF(C146&lt;income_max_row, C146+1, IF(C146=income_max_row, income_total_row, IF(C146=income_total_row, "/1", IF(C146="/1", expenses_header_row, IF(C146&lt;expenses_max_row, C146+1, IF(C146=expenses_max_row, expenses_total_row, IF(C146=expenses_total_row, "/2", IF(C146="/2", savings_header_row, IF(C146&lt;savings_max_row, C146+1, IF(C146=savings_max_row, savings_total_row, -1)))))))))))</f>
        <v>-1</v>
      </c>
      <c r="D147" s="5">
        <f t="shared" si="76"/>
        <v>-1</v>
      </c>
      <c r="E147" s="4" cm="1">
        <f t="array" ref="E147">1*OR(row_id=income_header_row, row_id=expenses_header_row, row_id=savings_header_row)</f>
        <v>0</v>
      </c>
      <c r="F147">
        <f t="shared" si="77"/>
        <v>0</v>
      </c>
      <c r="G147" cm="1">
        <f t="array" ref="G147">1*OR(row_id=income_total_row, row_id=expenses_total_row, row_id=savings_total_row)</f>
        <v>0</v>
      </c>
      <c r="H147" s="5">
        <f t="shared" si="78"/>
        <v>1</v>
      </c>
      <c r="I147" s="4" t="str" cm="1">
        <f t="array" ref="I147">IFERROR(INDEX('Budget Planning'!$C:$C, header_row_id), "")</f>
        <v/>
      </c>
      <c r="J147" t="str" cm="1">
        <f t="array" ref="J147">IFERROR(INDEX('Budget Planning'!$C:$C, row_id), "")</f>
        <v/>
      </c>
      <c r="K147" s="52" t="str" cm="1">
        <f t="array" ref="K14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7" s="53" t="str" cm="1">
        <f t="array" ref="L147">IF(OR(is_header, is_empty), "", INDEX('Budget Planning'!$E:$EM, row_id, MATCH(IF(selected_period="Total Year", selected_year, DATE(selected_year, selected_period, 1)), 'Budget Planning'!$E$9:$EM$9, 0)))</f>
        <v/>
      </c>
      <c r="M147" s="50" t="str" cm="1">
        <f t="array" ref="M147">IF(is_category, IF(header_row_id=income_header_row, MATCH(income_min_row, $C:$C, 0), IF(header_row_id=expenses_header_row, MATCH(expenses_min_row, $C:$C, 0), IF(header_row_id=savings_header_row, MATCH(savings_min_row, $C:$C, 0), ""))), "")</f>
        <v/>
      </c>
      <c r="N147" s="51" t="str" cm="1">
        <f t="array" ref="N147">IF(is_category, IF(header_row_id=income_header_row, MATCH(income_max_row, $C:$C, 0), IF(header_row_id=expenses_header_row, MATCH(expenses_max_row, $C:$C, 0), IF(header_row_id=savings_header_row, MATCH(savings_max_row, $C:$C, 0), ""))), "")</f>
        <v/>
      </c>
      <c r="O147" s="50" t="str">
        <f t="shared" si="79"/>
        <v/>
      </c>
      <c r="P147" s="49" t="str">
        <f t="shared" ca="1" si="80"/>
        <v/>
      </c>
      <c r="Q147" s="49" t="str">
        <f t="shared" si="81"/>
        <v/>
      </c>
      <c r="R147" s="51" t="str">
        <f t="shared" ca="1" si="82"/>
        <v/>
      </c>
      <c r="S147" s="50" t="str">
        <f t="shared" si="83"/>
        <v/>
      </c>
      <c r="T147" s="49" t="str">
        <f t="shared" si="84"/>
        <v/>
      </c>
      <c r="U147" s="49" t="str">
        <f t="shared" ca="1" si="85"/>
        <v/>
      </c>
      <c r="V147" s="49" t="str">
        <f t="shared" si="86"/>
        <v/>
      </c>
      <c r="W147" s="47" t="str">
        <f t="shared" ca="1" si="87"/>
        <v/>
      </c>
      <c r="X147" s="56">
        <f t="shared" si="88"/>
        <v>-1</v>
      </c>
      <c r="Y147" s="57" t="str">
        <f t="shared" si="89"/>
        <v/>
      </c>
      <c r="Z147" s="59" t="str">
        <f t="shared" si="90"/>
        <v/>
      </c>
      <c r="AA147" s="59" t="str">
        <f t="shared" si="91"/>
        <v/>
      </c>
      <c r="AB147" s="58" t="str">
        <f t="shared" si="92"/>
        <v/>
      </c>
      <c r="AC147" s="59" t="str">
        <f t="shared" si="93"/>
        <v/>
      </c>
      <c r="AD147" s="59" t="str">
        <f t="shared" si="94"/>
        <v/>
      </c>
    </row>
    <row r="148" spans="3:30" x14ac:dyDescent="0.25">
      <c r="C148" s="4" cm="1">
        <f t="array" ref="C148">IF(C147=-1,-1, IF(C147&lt;income_max_row, C147+1, IF(C147=income_max_row, income_total_row, IF(C147=income_total_row, "/1", IF(C147="/1", expenses_header_row, IF(C147&lt;expenses_max_row, C147+1, IF(C147=expenses_max_row, expenses_total_row, IF(C147=expenses_total_row, "/2", IF(C147="/2", savings_header_row, IF(C147&lt;savings_max_row, C147+1, IF(C147=savings_max_row, savings_total_row, -1)))))))))))</f>
        <v>-1</v>
      </c>
      <c r="D148" s="5">
        <f t="shared" si="76"/>
        <v>-1</v>
      </c>
      <c r="E148" s="4" cm="1">
        <f t="array" ref="E148">1*OR(row_id=income_header_row, row_id=expenses_header_row, row_id=savings_header_row)</f>
        <v>0</v>
      </c>
      <c r="F148">
        <f t="shared" si="77"/>
        <v>0</v>
      </c>
      <c r="G148" cm="1">
        <f t="array" ref="G148">1*OR(row_id=income_total_row, row_id=expenses_total_row, row_id=savings_total_row)</f>
        <v>0</v>
      </c>
      <c r="H148" s="5">
        <f t="shared" si="78"/>
        <v>1</v>
      </c>
      <c r="I148" s="4" t="str" cm="1">
        <f t="array" ref="I148">IFERROR(INDEX('Budget Planning'!$C:$C, header_row_id), "")</f>
        <v/>
      </c>
      <c r="J148" t="str" cm="1">
        <f t="array" ref="J148">IFERROR(INDEX('Budget Planning'!$C:$C, row_id), "")</f>
        <v/>
      </c>
      <c r="K148" s="52" t="str" cm="1">
        <f t="array" ref="K14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8" s="53" t="str" cm="1">
        <f t="array" ref="L148">IF(OR(is_header, is_empty), "", INDEX('Budget Planning'!$E:$EM, row_id, MATCH(IF(selected_period="Total Year", selected_year, DATE(selected_year, selected_period, 1)), 'Budget Planning'!$E$9:$EM$9, 0)))</f>
        <v/>
      </c>
      <c r="M148" s="50" t="str" cm="1">
        <f t="array" ref="M148">IF(is_category, IF(header_row_id=income_header_row, MATCH(income_min_row, $C:$C, 0), IF(header_row_id=expenses_header_row, MATCH(expenses_min_row, $C:$C, 0), IF(header_row_id=savings_header_row, MATCH(savings_min_row, $C:$C, 0), ""))), "")</f>
        <v/>
      </c>
      <c r="N148" s="51" t="str" cm="1">
        <f t="array" ref="N148">IF(is_category, IF(header_row_id=income_header_row, MATCH(income_max_row, $C:$C, 0), IF(header_row_id=expenses_header_row, MATCH(expenses_max_row, $C:$C, 0), IF(header_row_id=savings_header_row, MATCH(savings_max_row, $C:$C, 0), ""))), "")</f>
        <v/>
      </c>
      <c r="O148" s="50" t="str">
        <f t="shared" si="79"/>
        <v/>
      </c>
      <c r="P148" s="49" t="str">
        <f t="shared" ca="1" si="80"/>
        <v/>
      </c>
      <c r="Q148" s="49" t="str">
        <f t="shared" si="81"/>
        <v/>
      </c>
      <c r="R148" s="51" t="str">
        <f t="shared" ca="1" si="82"/>
        <v/>
      </c>
      <c r="S148" s="50" t="str">
        <f t="shared" si="83"/>
        <v/>
      </c>
      <c r="T148" s="49" t="str">
        <f t="shared" si="84"/>
        <v/>
      </c>
      <c r="U148" s="49" t="str">
        <f t="shared" ca="1" si="85"/>
        <v/>
      </c>
      <c r="V148" s="49" t="str">
        <f t="shared" si="86"/>
        <v/>
      </c>
      <c r="W148" s="47" t="str">
        <f t="shared" ca="1" si="87"/>
        <v/>
      </c>
      <c r="X148" s="56">
        <f t="shared" si="88"/>
        <v>-1</v>
      </c>
      <c r="Y148" s="57" t="str">
        <f t="shared" si="89"/>
        <v/>
      </c>
      <c r="Z148" s="59" t="str">
        <f t="shared" si="90"/>
        <v/>
      </c>
      <c r="AA148" s="59" t="str">
        <f t="shared" si="91"/>
        <v/>
      </c>
      <c r="AB148" s="58" t="str">
        <f t="shared" si="92"/>
        <v/>
      </c>
      <c r="AC148" s="59" t="str">
        <f t="shared" si="93"/>
        <v/>
      </c>
      <c r="AD148" s="59" t="str">
        <f t="shared" si="94"/>
        <v/>
      </c>
    </row>
    <row r="149" spans="3:30" x14ac:dyDescent="0.25">
      <c r="C149" s="4" cm="1">
        <f t="array" ref="C149">IF(C148=-1,-1, IF(C148&lt;income_max_row, C148+1, IF(C148=income_max_row, income_total_row, IF(C148=income_total_row, "/1", IF(C148="/1", expenses_header_row, IF(C148&lt;expenses_max_row, C148+1, IF(C148=expenses_max_row, expenses_total_row, IF(C148=expenses_total_row, "/2", IF(C148="/2", savings_header_row, IF(C148&lt;savings_max_row, C148+1, IF(C148=savings_max_row, savings_total_row, -1)))))))))))</f>
        <v>-1</v>
      </c>
      <c r="D149" s="5">
        <f t="shared" si="76"/>
        <v>-1</v>
      </c>
      <c r="E149" s="4" cm="1">
        <f t="array" ref="E149">1*OR(row_id=income_header_row, row_id=expenses_header_row, row_id=savings_header_row)</f>
        <v>0</v>
      </c>
      <c r="F149">
        <f t="shared" si="77"/>
        <v>0</v>
      </c>
      <c r="G149" cm="1">
        <f t="array" ref="G149">1*OR(row_id=income_total_row, row_id=expenses_total_row, row_id=savings_total_row)</f>
        <v>0</v>
      </c>
      <c r="H149" s="5">
        <f t="shared" si="78"/>
        <v>1</v>
      </c>
      <c r="I149" s="4" t="str" cm="1">
        <f t="array" ref="I149">IFERROR(INDEX('Budget Planning'!$C:$C, header_row_id), "")</f>
        <v/>
      </c>
      <c r="J149" t="str" cm="1">
        <f t="array" ref="J149">IFERROR(INDEX('Budget Planning'!$C:$C, row_id), "")</f>
        <v/>
      </c>
      <c r="K149" s="52" t="str" cm="1">
        <f t="array" ref="K14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9" s="53" t="str" cm="1">
        <f t="array" ref="L149">IF(OR(is_header, is_empty), "", INDEX('Budget Planning'!$E:$EM, row_id, MATCH(IF(selected_period="Total Year", selected_year, DATE(selected_year, selected_period, 1)), 'Budget Planning'!$E$9:$EM$9, 0)))</f>
        <v/>
      </c>
      <c r="M149" s="50" t="str" cm="1">
        <f t="array" ref="M149">IF(is_category, IF(header_row_id=income_header_row, MATCH(income_min_row, $C:$C, 0), IF(header_row_id=expenses_header_row, MATCH(expenses_min_row, $C:$C, 0), IF(header_row_id=savings_header_row, MATCH(savings_min_row, $C:$C, 0), ""))), "")</f>
        <v/>
      </c>
      <c r="N149" s="51" t="str" cm="1">
        <f t="array" ref="N149">IF(is_category, IF(header_row_id=income_header_row, MATCH(income_max_row, $C:$C, 0), IF(header_row_id=expenses_header_row, MATCH(expenses_max_row, $C:$C, 0), IF(header_row_id=savings_header_row, MATCH(savings_max_row, $C:$C, 0), ""))), "")</f>
        <v/>
      </c>
      <c r="O149" s="50" t="str">
        <f t="shared" si="79"/>
        <v/>
      </c>
      <c r="P149" s="49" t="str">
        <f t="shared" ca="1" si="80"/>
        <v/>
      </c>
      <c r="Q149" s="49" t="str">
        <f t="shared" si="81"/>
        <v/>
      </c>
      <c r="R149" s="51" t="str">
        <f t="shared" ca="1" si="82"/>
        <v/>
      </c>
      <c r="S149" s="50" t="str">
        <f t="shared" si="83"/>
        <v/>
      </c>
      <c r="T149" s="49" t="str">
        <f t="shared" si="84"/>
        <v/>
      </c>
      <c r="U149" s="49" t="str">
        <f t="shared" ca="1" si="85"/>
        <v/>
      </c>
      <c r="V149" s="49" t="str">
        <f t="shared" si="86"/>
        <v/>
      </c>
      <c r="W149" s="47" t="str">
        <f t="shared" ca="1" si="87"/>
        <v/>
      </c>
      <c r="X149" s="56">
        <f t="shared" si="88"/>
        <v>-1</v>
      </c>
      <c r="Y149" s="57" t="str">
        <f t="shared" si="89"/>
        <v/>
      </c>
      <c r="Z149" s="59" t="str">
        <f t="shared" si="90"/>
        <v/>
      </c>
      <c r="AA149" s="59" t="str">
        <f t="shared" si="91"/>
        <v/>
      </c>
      <c r="AB149" s="58" t="str">
        <f t="shared" si="92"/>
        <v/>
      </c>
      <c r="AC149" s="59" t="str">
        <f t="shared" si="93"/>
        <v/>
      </c>
      <c r="AD149" s="59" t="str">
        <f t="shared" si="94"/>
        <v/>
      </c>
    </row>
    <row r="150" spans="3:30" x14ac:dyDescent="0.25">
      <c r="C150" s="4" cm="1">
        <f t="array" ref="C150">IF(C149=-1,-1, IF(C149&lt;income_max_row, C149+1, IF(C149=income_max_row, income_total_row, IF(C149=income_total_row, "/1", IF(C149="/1", expenses_header_row, IF(C149&lt;expenses_max_row, C149+1, IF(C149=expenses_max_row, expenses_total_row, IF(C149=expenses_total_row, "/2", IF(C149="/2", savings_header_row, IF(C149&lt;savings_max_row, C149+1, IF(C149=savings_max_row, savings_total_row, -1)))))))))))</f>
        <v>-1</v>
      </c>
      <c r="D150" s="5">
        <f t="shared" si="76"/>
        <v>-1</v>
      </c>
      <c r="E150" s="4" cm="1">
        <f t="array" ref="E150">1*OR(row_id=income_header_row, row_id=expenses_header_row, row_id=savings_header_row)</f>
        <v>0</v>
      </c>
      <c r="F150">
        <f t="shared" si="77"/>
        <v>0</v>
      </c>
      <c r="G150" cm="1">
        <f t="array" ref="G150">1*OR(row_id=income_total_row, row_id=expenses_total_row, row_id=savings_total_row)</f>
        <v>0</v>
      </c>
      <c r="H150" s="5">
        <f t="shared" si="78"/>
        <v>1</v>
      </c>
      <c r="I150" s="4" t="str" cm="1">
        <f t="array" ref="I150">IFERROR(INDEX('Budget Planning'!$C:$C, header_row_id), "")</f>
        <v/>
      </c>
      <c r="J150" t="str" cm="1">
        <f t="array" ref="J150">IFERROR(INDEX('Budget Planning'!$C:$C, row_id), "")</f>
        <v/>
      </c>
      <c r="K150" s="52" t="str" cm="1">
        <f t="array" ref="K15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0" s="53" t="str" cm="1">
        <f t="array" ref="L150">IF(OR(is_header, is_empty), "", INDEX('Budget Planning'!$E:$EM, row_id, MATCH(IF(selected_period="Total Year", selected_year, DATE(selected_year, selected_period, 1)), 'Budget Planning'!$E$9:$EM$9, 0)))</f>
        <v/>
      </c>
      <c r="M150" s="50" t="str" cm="1">
        <f t="array" ref="M150">IF(is_category, IF(header_row_id=income_header_row, MATCH(income_min_row, $C:$C, 0), IF(header_row_id=expenses_header_row, MATCH(expenses_min_row, $C:$C, 0), IF(header_row_id=savings_header_row, MATCH(savings_min_row, $C:$C, 0), ""))), "")</f>
        <v/>
      </c>
      <c r="N150" s="51" t="str" cm="1">
        <f t="array" ref="N150">IF(is_category, IF(header_row_id=income_header_row, MATCH(income_max_row, $C:$C, 0), IF(header_row_id=expenses_header_row, MATCH(expenses_max_row, $C:$C, 0), IF(header_row_id=savings_header_row, MATCH(savings_max_row, $C:$C, 0), ""))), "")</f>
        <v/>
      </c>
      <c r="O150" s="50" t="str">
        <f t="shared" si="79"/>
        <v/>
      </c>
      <c r="P150" s="49" t="str">
        <f t="shared" ca="1" si="80"/>
        <v/>
      </c>
      <c r="Q150" s="49" t="str">
        <f t="shared" si="81"/>
        <v/>
      </c>
      <c r="R150" s="51" t="str">
        <f t="shared" ca="1" si="82"/>
        <v/>
      </c>
      <c r="S150" s="50" t="str">
        <f t="shared" si="83"/>
        <v/>
      </c>
      <c r="T150" s="49" t="str">
        <f t="shared" si="84"/>
        <v/>
      </c>
      <c r="U150" s="49" t="str">
        <f t="shared" ca="1" si="85"/>
        <v/>
      </c>
      <c r="V150" s="49" t="str">
        <f t="shared" si="86"/>
        <v/>
      </c>
      <c r="W150" s="47" t="str">
        <f t="shared" ca="1" si="87"/>
        <v/>
      </c>
      <c r="X150" s="56">
        <f t="shared" si="88"/>
        <v>-1</v>
      </c>
      <c r="Y150" s="57" t="str">
        <f t="shared" si="89"/>
        <v/>
      </c>
      <c r="Z150" s="59" t="str">
        <f t="shared" si="90"/>
        <v/>
      </c>
      <c r="AA150" s="59" t="str">
        <f t="shared" si="91"/>
        <v/>
      </c>
      <c r="AB150" s="58" t="str">
        <f t="shared" si="92"/>
        <v/>
      </c>
      <c r="AC150" s="59" t="str">
        <f t="shared" si="93"/>
        <v/>
      </c>
      <c r="AD150" s="59" t="str">
        <f t="shared" si="94"/>
        <v/>
      </c>
    </row>
    <row r="151" spans="3:30" x14ac:dyDescent="0.25">
      <c r="C151" s="4" cm="1">
        <f t="array" ref="C151">IF(C150=-1,-1, IF(C150&lt;income_max_row, C150+1, IF(C150=income_max_row, income_total_row, IF(C150=income_total_row, "/1", IF(C150="/1", expenses_header_row, IF(C150&lt;expenses_max_row, C150+1, IF(C150=expenses_max_row, expenses_total_row, IF(C150=expenses_total_row, "/2", IF(C150="/2", savings_header_row, IF(C150&lt;savings_max_row, C150+1, IF(C150=savings_max_row, savings_total_row, -1)))))))))))</f>
        <v>-1</v>
      </c>
      <c r="D151" s="5">
        <f t="shared" si="76"/>
        <v>-1</v>
      </c>
      <c r="E151" s="4" cm="1">
        <f t="array" ref="E151">1*OR(row_id=income_header_row, row_id=expenses_header_row, row_id=savings_header_row)</f>
        <v>0</v>
      </c>
      <c r="F151">
        <f t="shared" si="77"/>
        <v>0</v>
      </c>
      <c r="G151" cm="1">
        <f t="array" ref="G151">1*OR(row_id=income_total_row, row_id=expenses_total_row, row_id=savings_total_row)</f>
        <v>0</v>
      </c>
      <c r="H151" s="5">
        <f t="shared" si="78"/>
        <v>1</v>
      </c>
      <c r="I151" s="4" t="str" cm="1">
        <f t="array" ref="I151">IFERROR(INDEX('Budget Planning'!$C:$C, header_row_id), "")</f>
        <v/>
      </c>
      <c r="J151" t="str" cm="1">
        <f t="array" ref="J151">IFERROR(INDEX('Budget Planning'!$C:$C, row_id), "")</f>
        <v/>
      </c>
      <c r="K151" s="52" t="str" cm="1">
        <f t="array" ref="K15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1" s="53" t="str" cm="1">
        <f t="array" ref="L151">IF(OR(is_header, is_empty), "", INDEX('Budget Planning'!$E:$EM, row_id, MATCH(IF(selected_period="Total Year", selected_year, DATE(selected_year, selected_period, 1)), 'Budget Planning'!$E$9:$EM$9, 0)))</f>
        <v/>
      </c>
      <c r="M151" s="50" t="str" cm="1">
        <f t="array" ref="M151">IF(is_category, IF(header_row_id=income_header_row, MATCH(income_min_row, $C:$C, 0), IF(header_row_id=expenses_header_row, MATCH(expenses_min_row, $C:$C, 0), IF(header_row_id=savings_header_row, MATCH(savings_min_row, $C:$C, 0), ""))), "")</f>
        <v/>
      </c>
      <c r="N151" s="51" t="str" cm="1">
        <f t="array" ref="N151">IF(is_category, IF(header_row_id=income_header_row, MATCH(income_max_row, $C:$C, 0), IF(header_row_id=expenses_header_row, MATCH(expenses_max_row, $C:$C, 0), IF(header_row_id=savings_header_row, MATCH(savings_max_row, $C:$C, 0), ""))), "")</f>
        <v/>
      </c>
      <c r="O151" s="50" t="str">
        <f t="shared" si="79"/>
        <v/>
      </c>
      <c r="P151" s="49" t="str">
        <f t="shared" ca="1" si="80"/>
        <v/>
      </c>
      <c r="Q151" s="49" t="str">
        <f t="shared" si="81"/>
        <v/>
      </c>
      <c r="R151" s="51" t="str">
        <f t="shared" ca="1" si="82"/>
        <v/>
      </c>
      <c r="S151" s="50" t="str">
        <f t="shared" si="83"/>
        <v/>
      </c>
      <c r="T151" s="49" t="str">
        <f t="shared" si="84"/>
        <v/>
      </c>
      <c r="U151" s="49" t="str">
        <f t="shared" ca="1" si="85"/>
        <v/>
      </c>
      <c r="V151" s="49" t="str">
        <f t="shared" si="86"/>
        <v/>
      </c>
      <c r="W151" s="47" t="str">
        <f t="shared" ca="1" si="87"/>
        <v/>
      </c>
      <c r="X151" s="56">
        <f t="shared" si="88"/>
        <v>-1</v>
      </c>
      <c r="Y151" s="57" t="str">
        <f t="shared" si="89"/>
        <v/>
      </c>
      <c r="Z151" s="59" t="str">
        <f t="shared" si="90"/>
        <v/>
      </c>
      <c r="AA151" s="59" t="str">
        <f t="shared" si="91"/>
        <v/>
      </c>
      <c r="AB151" s="58" t="str">
        <f t="shared" si="92"/>
        <v/>
      </c>
      <c r="AC151" s="59" t="str">
        <f t="shared" si="93"/>
        <v/>
      </c>
      <c r="AD151" s="59" t="str">
        <f t="shared" si="94"/>
        <v/>
      </c>
    </row>
    <row r="152" spans="3:30" x14ac:dyDescent="0.25">
      <c r="C152" s="4" cm="1">
        <f t="array" ref="C152">IF(C151=-1,-1, IF(C151&lt;income_max_row, C151+1, IF(C151=income_max_row, income_total_row, IF(C151=income_total_row, "/1", IF(C151="/1", expenses_header_row, IF(C151&lt;expenses_max_row, C151+1, IF(C151=expenses_max_row, expenses_total_row, IF(C151=expenses_total_row, "/2", IF(C151="/2", savings_header_row, IF(C151&lt;savings_max_row, C151+1, IF(C151=savings_max_row, savings_total_row, -1)))))))))))</f>
        <v>-1</v>
      </c>
      <c r="D152" s="5">
        <f t="shared" si="76"/>
        <v>-1</v>
      </c>
      <c r="E152" s="4" cm="1">
        <f t="array" ref="E152">1*OR(row_id=income_header_row, row_id=expenses_header_row, row_id=savings_header_row)</f>
        <v>0</v>
      </c>
      <c r="F152">
        <f t="shared" si="77"/>
        <v>0</v>
      </c>
      <c r="G152" cm="1">
        <f t="array" ref="G152">1*OR(row_id=income_total_row, row_id=expenses_total_row, row_id=savings_total_row)</f>
        <v>0</v>
      </c>
      <c r="H152" s="5">
        <f t="shared" si="78"/>
        <v>1</v>
      </c>
      <c r="I152" s="4" t="str" cm="1">
        <f t="array" ref="I152">IFERROR(INDEX('Budget Planning'!$C:$C, header_row_id), "")</f>
        <v/>
      </c>
      <c r="J152" t="str" cm="1">
        <f t="array" ref="J152">IFERROR(INDEX('Budget Planning'!$C:$C, row_id), "")</f>
        <v/>
      </c>
      <c r="K152" s="52" t="str" cm="1">
        <f t="array" ref="K15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2" s="53" t="str" cm="1">
        <f t="array" ref="L152">IF(OR(is_header, is_empty), "", INDEX('Budget Planning'!$E:$EM, row_id, MATCH(IF(selected_period="Total Year", selected_year, DATE(selected_year, selected_period, 1)), 'Budget Planning'!$E$9:$EM$9, 0)))</f>
        <v/>
      </c>
      <c r="M152" s="50" t="str" cm="1">
        <f t="array" ref="M152">IF(is_category, IF(header_row_id=income_header_row, MATCH(income_min_row, $C:$C, 0), IF(header_row_id=expenses_header_row, MATCH(expenses_min_row, $C:$C, 0), IF(header_row_id=savings_header_row, MATCH(savings_min_row, $C:$C, 0), ""))), "")</f>
        <v/>
      </c>
      <c r="N152" s="51" t="str" cm="1">
        <f t="array" ref="N152">IF(is_category, IF(header_row_id=income_header_row, MATCH(income_max_row, $C:$C, 0), IF(header_row_id=expenses_header_row, MATCH(expenses_max_row, $C:$C, 0), IF(header_row_id=savings_header_row, MATCH(savings_max_row, $C:$C, 0), ""))), "")</f>
        <v/>
      </c>
      <c r="O152" s="50" t="str">
        <f t="shared" si="79"/>
        <v/>
      </c>
      <c r="P152" s="49" t="str">
        <f t="shared" ca="1" si="80"/>
        <v/>
      </c>
      <c r="Q152" s="49" t="str">
        <f t="shared" si="81"/>
        <v/>
      </c>
      <c r="R152" s="51" t="str">
        <f t="shared" ca="1" si="82"/>
        <v/>
      </c>
      <c r="S152" s="50" t="str">
        <f t="shared" si="83"/>
        <v/>
      </c>
      <c r="T152" s="49" t="str">
        <f t="shared" si="84"/>
        <v/>
      </c>
      <c r="U152" s="49" t="str">
        <f t="shared" ca="1" si="85"/>
        <v/>
      </c>
      <c r="V152" s="49" t="str">
        <f t="shared" si="86"/>
        <v/>
      </c>
      <c r="W152" s="47" t="str">
        <f t="shared" ca="1" si="87"/>
        <v/>
      </c>
      <c r="X152" s="56">
        <f t="shared" si="88"/>
        <v>-1</v>
      </c>
      <c r="Y152" s="57" t="str">
        <f t="shared" si="89"/>
        <v/>
      </c>
      <c r="Z152" s="59" t="str">
        <f t="shared" si="90"/>
        <v/>
      </c>
      <c r="AA152" s="59" t="str">
        <f t="shared" si="91"/>
        <v/>
      </c>
      <c r="AB152" s="58" t="str">
        <f t="shared" si="92"/>
        <v/>
      </c>
      <c r="AC152" s="59" t="str">
        <f t="shared" si="93"/>
        <v/>
      </c>
      <c r="AD152" s="59" t="str">
        <f t="shared" si="94"/>
        <v/>
      </c>
    </row>
    <row r="153" spans="3:30" x14ac:dyDescent="0.25">
      <c r="C153" s="4" cm="1">
        <f t="array" ref="C153">IF(C152=-1,-1, IF(C152&lt;income_max_row, C152+1, IF(C152=income_max_row, income_total_row, IF(C152=income_total_row, "/1", IF(C152="/1", expenses_header_row, IF(C152&lt;expenses_max_row, C152+1, IF(C152=expenses_max_row, expenses_total_row, IF(C152=expenses_total_row, "/2", IF(C152="/2", savings_header_row, IF(C152&lt;savings_max_row, C152+1, IF(C152=savings_max_row, savings_total_row, -1)))))))))))</f>
        <v>-1</v>
      </c>
      <c r="D153" s="5">
        <f t="shared" si="76"/>
        <v>-1</v>
      </c>
      <c r="E153" s="4" cm="1">
        <f t="array" ref="E153">1*OR(row_id=income_header_row, row_id=expenses_header_row, row_id=savings_header_row)</f>
        <v>0</v>
      </c>
      <c r="F153">
        <f t="shared" si="77"/>
        <v>0</v>
      </c>
      <c r="G153" cm="1">
        <f t="array" ref="G153">1*OR(row_id=income_total_row, row_id=expenses_total_row, row_id=savings_total_row)</f>
        <v>0</v>
      </c>
      <c r="H153" s="5">
        <f t="shared" si="78"/>
        <v>1</v>
      </c>
      <c r="I153" s="4" t="str" cm="1">
        <f t="array" ref="I153">IFERROR(INDEX('Budget Planning'!$C:$C, header_row_id), "")</f>
        <v/>
      </c>
      <c r="J153" t="str" cm="1">
        <f t="array" ref="J153">IFERROR(INDEX('Budget Planning'!$C:$C, row_id), "")</f>
        <v/>
      </c>
      <c r="K153" s="52" t="str" cm="1">
        <f t="array" ref="K15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3" s="53" t="str" cm="1">
        <f t="array" ref="L153">IF(OR(is_header, is_empty), "", INDEX('Budget Planning'!$E:$EM, row_id, MATCH(IF(selected_period="Total Year", selected_year, DATE(selected_year, selected_period, 1)), 'Budget Planning'!$E$9:$EM$9, 0)))</f>
        <v/>
      </c>
      <c r="M153" s="50" t="str" cm="1">
        <f t="array" ref="M153">IF(is_category, IF(header_row_id=income_header_row, MATCH(income_min_row, $C:$C, 0), IF(header_row_id=expenses_header_row, MATCH(expenses_min_row, $C:$C, 0), IF(header_row_id=savings_header_row, MATCH(savings_min_row, $C:$C, 0), ""))), "")</f>
        <v/>
      </c>
      <c r="N153" s="51" t="str" cm="1">
        <f t="array" ref="N153">IF(is_category, IF(header_row_id=income_header_row, MATCH(income_max_row, $C:$C, 0), IF(header_row_id=expenses_header_row, MATCH(expenses_max_row, $C:$C, 0), IF(header_row_id=savings_header_row, MATCH(savings_max_row, $C:$C, 0), ""))), "")</f>
        <v/>
      </c>
      <c r="O153" s="50" t="str">
        <f t="shared" si="79"/>
        <v/>
      </c>
      <c r="P153" s="49" t="str">
        <f t="shared" ca="1" si="80"/>
        <v/>
      </c>
      <c r="Q153" s="49" t="str">
        <f t="shared" si="81"/>
        <v/>
      </c>
      <c r="R153" s="51" t="str">
        <f t="shared" ca="1" si="82"/>
        <v/>
      </c>
      <c r="S153" s="50" t="str">
        <f t="shared" si="83"/>
        <v/>
      </c>
      <c r="T153" s="49" t="str">
        <f t="shared" si="84"/>
        <v/>
      </c>
      <c r="U153" s="49" t="str">
        <f t="shared" ca="1" si="85"/>
        <v/>
      </c>
      <c r="V153" s="49" t="str">
        <f t="shared" si="86"/>
        <v/>
      </c>
      <c r="W153" s="47" t="str">
        <f t="shared" ca="1" si="87"/>
        <v/>
      </c>
      <c r="X153" s="56">
        <f t="shared" si="88"/>
        <v>-1</v>
      </c>
      <c r="Y153" s="57" t="str">
        <f t="shared" si="89"/>
        <v/>
      </c>
      <c r="Z153" s="59" t="str">
        <f t="shared" si="90"/>
        <v/>
      </c>
      <c r="AA153" s="59" t="str">
        <f t="shared" si="91"/>
        <v/>
      </c>
      <c r="AB153" s="58" t="str">
        <f t="shared" si="92"/>
        <v/>
      </c>
      <c r="AC153" s="59" t="str">
        <f t="shared" si="93"/>
        <v/>
      </c>
      <c r="AD153" s="59" t="str">
        <f t="shared" si="94"/>
        <v/>
      </c>
    </row>
    <row r="154" spans="3:30" x14ac:dyDescent="0.25">
      <c r="C154" s="4" cm="1">
        <f t="array" ref="C154">IF(C153=-1,-1, IF(C153&lt;income_max_row, C153+1, IF(C153=income_max_row, income_total_row, IF(C153=income_total_row, "/1", IF(C153="/1", expenses_header_row, IF(C153&lt;expenses_max_row, C153+1, IF(C153=expenses_max_row, expenses_total_row, IF(C153=expenses_total_row, "/2", IF(C153="/2", savings_header_row, IF(C153&lt;savings_max_row, C153+1, IF(C153=savings_max_row, savings_total_row, -1)))))))))))</f>
        <v>-1</v>
      </c>
      <c r="D154" s="5">
        <f t="shared" si="76"/>
        <v>-1</v>
      </c>
      <c r="E154" s="4" cm="1">
        <f t="array" ref="E154">1*OR(row_id=income_header_row, row_id=expenses_header_row, row_id=savings_header_row)</f>
        <v>0</v>
      </c>
      <c r="F154">
        <f t="shared" si="77"/>
        <v>0</v>
      </c>
      <c r="G154" cm="1">
        <f t="array" ref="G154">1*OR(row_id=income_total_row, row_id=expenses_total_row, row_id=savings_total_row)</f>
        <v>0</v>
      </c>
      <c r="H154" s="5">
        <f t="shared" si="78"/>
        <v>1</v>
      </c>
      <c r="I154" s="4" t="str" cm="1">
        <f t="array" ref="I154">IFERROR(INDEX('Budget Planning'!$C:$C, header_row_id), "")</f>
        <v/>
      </c>
      <c r="J154" t="str" cm="1">
        <f t="array" ref="J154">IFERROR(INDEX('Budget Planning'!$C:$C, row_id), "")</f>
        <v/>
      </c>
      <c r="K154" s="52" t="str" cm="1">
        <f t="array" ref="K15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4" s="53" t="str" cm="1">
        <f t="array" ref="L154">IF(OR(is_header, is_empty), "", INDEX('Budget Planning'!$E:$EM, row_id, MATCH(IF(selected_period="Total Year", selected_year, DATE(selected_year, selected_period, 1)), 'Budget Planning'!$E$9:$EM$9, 0)))</f>
        <v/>
      </c>
      <c r="M154" s="50" t="str" cm="1">
        <f t="array" ref="M154">IF(is_category, IF(header_row_id=income_header_row, MATCH(income_min_row, $C:$C, 0), IF(header_row_id=expenses_header_row, MATCH(expenses_min_row, $C:$C, 0), IF(header_row_id=savings_header_row, MATCH(savings_min_row, $C:$C, 0), ""))), "")</f>
        <v/>
      </c>
      <c r="N154" s="51" t="str" cm="1">
        <f t="array" ref="N154">IF(is_category, IF(header_row_id=income_header_row, MATCH(income_max_row, $C:$C, 0), IF(header_row_id=expenses_header_row, MATCH(expenses_max_row, $C:$C, 0), IF(header_row_id=savings_header_row, MATCH(savings_max_row, $C:$C, 0), ""))), "")</f>
        <v/>
      </c>
      <c r="O154" s="50" t="str">
        <f t="shared" si="79"/>
        <v/>
      </c>
      <c r="P154" s="49" t="str">
        <f t="shared" ca="1" si="80"/>
        <v/>
      </c>
      <c r="Q154" s="49" t="str">
        <f t="shared" si="81"/>
        <v/>
      </c>
      <c r="R154" s="51" t="str">
        <f t="shared" ca="1" si="82"/>
        <v/>
      </c>
      <c r="S154" s="50" t="str">
        <f t="shared" si="83"/>
        <v/>
      </c>
      <c r="T154" s="49" t="str">
        <f t="shared" si="84"/>
        <v/>
      </c>
      <c r="U154" s="49" t="str">
        <f t="shared" ca="1" si="85"/>
        <v/>
      </c>
      <c r="V154" s="49" t="str">
        <f t="shared" si="86"/>
        <v/>
      </c>
      <c r="W154" s="47" t="str">
        <f t="shared" ca="1" si="87"/>
        <v/>
      </c>
      <c r="X154" s="56">
        <f t="shared" si="88"/>
        <v>-1</v>
      </c>
      <c r="Y154" s="57" t="str">
        <f t="shared" si="89"/>
        <v/>
      </c>
      <c r="Z154" s="59" t="str">
        <f t="shared" si="90"/>
        <v/>
      </c>
      <c r="AA154" s="59" t="str">
        <f t="shared" si="91"/>
        <v/>
      </c>
      <c r="AB154" s="58" t="str">
        <f t="shared" si="92"/>
        <v/>
      </c>
      <c r="AC154" s="59" t="str">
        <f t="shared" si="93"/>
        <v/>
      </c>
      <c r="AD154" s="59" t="str">
        <f t="shared" si="94"/>
        <v/>
      </c>
    </row>
    <row r="155" spans="3:30" x14ac:dyDescent="0.25">
      <c r="C155" s="4" cm="1">
        <f t="array" ref="C155">IF(C154=-1,-1, IF(C154&lt;income_max_row, C154+1, IF(C154=income_max_row, income_total_row, IF(C154=income_total_row, "/1", IF(C154="/1", expenses_header_row, IF(C154&lt;expenses_max_row, C154+1, IF(C154=expenses_max_row, expenses_total_row, IF(C154=expenses_total_row, "/2", IF(C154="/2", savings_header_row, IF(C154&lt;savings_max_row, C154+1, IF(C154=savings_max_row, savings_total_row, -1)))))))))))</f>
        <v>-1</v>
      </c>
      <c r="D155" s="5">
        <f t="shared" si="76"/>
        <v>-1</v>
      </c>
      <c r="E155" s="4" cm="1">
        <f t="array" ref="E155">1*OR(row_id=income_header_row, row_id=expenses_header_row, row_id=savings_header_row)</f>
        <v>0</v>
      </c>
      <c r="F155">
        <f t="shared" si="77"/>
        <v>0</v>
      </c>
      <c r="G155" cm="1">
        <f t="array" ref="G155">1*OR(row_id=income_total_row, row_id=expenses_total_row, row_id=savings_total_row)</f>
        <v>0</v>
      </c>
      <c r="H155" s="5">
        <f t="shared" si="78"/>
        <v>1</v>
      </c>
      <c r="I155" s="4" t="str" cm="1">
        <f t="array" ref="I155">IFERROR(INDEX('Budget Planning'!$C:$C, header_row_id), "")</f>
        <v/>
      </c>
      <c r="J155" t="str" cm="1">
        <f t="array" ref="J155">IFERROR(INDEX('Budget Planning'!$C:$C, row_id), "")</f>
        <v/>
      </c>
      <c r="K155" s="52" t="str" cm="1">
        <f t="array" ref="K15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5" s="53" t="str" cm="1">
        <f t="array" ref="L155">IF(OR(is_header, is_empty), "", INDEX('Budget Planning'!$E:$EM, row_id, MATCH(IF(selected_period="Total Year", selected_year, DATE(selected_year, selected_period, 1)), 'Budget Planning'!$E$9:$EM$9, 0)))</f>
        <v/>
      </c>
      <c r="M155" s="50" t="str" cm="1">
        <f t="array" ref="M155">IF(is_category, IF(header_row_id=income_header_row, MATCH(income_min_row, $C:$C, 0), IF(header_row_id=expenses_header_row, MATCH(expenses_min_row, $C:$C, 0), IF(header_row_id=savings_header_row, MATCH(savings_min_row, $C:$C, 0), ""))), "")</f>
        <v/>
      </c>
      <c r="N155" s="51" t="str" cm="1">
        <f t="array" ref="N155">IF(is_category, IF(header_row_id=income_header_row, MATCH(income_max_row, $C:$C, 0), IF(header_row_id=expenses_header_row, MATCH(expenses_max_row, $C:$C, 0), IF(header_row_id=savings_header_row, MATCH(savings_max_row, $C:$C, 0), ""))), "")</f>
        <v/>
      </c>
      <c r="O155" s="50" t="str">
        <f t="shared" si="79"/>
        <v/>
      </c>
      <c r="P155" s="49" t="str">
        <f t="shared" ca="1" si="80"/>
        <v/>
      </c>
      <c r="Q155" s="49" t="str">
        <f t="shared" si="81"/>
        <v/>
      </c>
      <c r="R155" s="51" t="str">
        <f t="shared" ca="1" si="82"/>
        <v/>
      </c>
      <c r="S155" s="50" t="str">
        <f t="shared" si="83"/>
        <v/>
      </c>
      <c r="T155" s="49" t="str">
        <f t="shared" si="84"/>
        <v/>
      </c>
      <c r="U155" s="49" t="str">
        <f t="shared" ca="1" si="85"/>
        <v/>
      </c>
      <c r="V155" s="49" t="str">
        <f t="shared" si="86"/>
        <v/>
      </c>
      <c r="W155" s="47" t="str">
        <f t="shared" ca="1" si="87"/>
        <v/>
      </c>
      <c r="X155" s="56">
        <f t="shared" si="88"/>
        <v>-1</v>
      </c>
      <c r="Y155" s="57" t="str">
        <f t="shared" si="89"/>
        <v/>
      </c>
      <c r="Z155" s="59" t="str">
        <f t="shared" si="90"/>
        <v/>
      </c>
      <c r="AA155" s="59" t="str">
        <f t="shared" si="91"/>
        <v/>
      </c>
      <c r="AB155" s="58" t="str">
        <f t="shared" si="92"/>
        <v/>
      </c>
      <c r="AC155" s="59" t="str">
        <f t="shared" si="93"/>
        <v/>
      </c>
      <c r="AD155" s="59" t="str">
        <f t="shared" si="94"/>
        <v/>
      </c>
    </row>
    <row r="156" spans="3:30" x14ac:dyDescent="0.25">
      <c r="C156" s="4" cm="1">
        <f t="array" ref="C156">IF(C155=-1,-1, IF(C155&lt;income_max_row, C155+1, IF(C155=income_max_row, income_total_row, IF(C155=income_total_row, "/1", IF(C155="/1", expenses_header_row, IF(C155&lt;expenses_max_row, C155+1, IF(C155=expenses_max_row, expenses_total_row, IF(C155=expenses_total_row, "/2", IF(C155="/2", savings_header_row, IF(C155&lt;savings_max_row, C155+1, IF(C155=savings_max_row, savings_total_row, -1)))))))))))</f>
        <v>-1</v>
      </c>
      <c r="D156" s="5">
        <f t="shared" si="76"/>
        <v>-1</v>
      </c>
      <c r="E156" s="4" cm="1">
        <f t="array" ref="E156">1*OR(row_id=income_header_row, row_id=expenses_header_row, row_id=savings_header_row)</f>
        <v>0</v>
      </c>
      <c r="F156">
        <f t="shared" si="77"/>
        <v>0</v>
      </c>
      <c r="G156" cm="1">
        <f t="array" ref="G156">1*OR(row_id=income_total_row, row_id=expenses_total_row, row_id=savings_total_row)</f>
        <v>0</v>
      </c>
      <c r="H156" s="5">
        <f t="shared" si="78"/>
        <v>1</v>
      </c>
      <c r="I156" s="4" t="str" cm="1">
        <f t="array" ref="I156">IFERROR(INDEX('Budget Planning'!$C:$C, header_row_id), "")</f>
        <v/>
      </c>
      <c r="J156" t="str" cm="1">
        <f t="array" ref="J156">IFERROR(INDEX('Budget Planning'!$C:$C, row_id), "")</f>
        <v/>
      </c>
      <c r="K156" s="52" t="str" cm="1">
        <f t="array" ref="K15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6" s="53" t="str" cm="1">
        <f t="array" ref="L156">IF(OR(is_header, is_empty), "", INDEX('Budget Planning'!$E:$EM, row_id, MATCH(IF(selected_period="Total Year", selected_year, DATE(selected_year, selected_period, 1)), 'Budget Planning'!$E$9:$EM$9, 0)))</f>
        <v/>
      </c>
      <c r="M156" s="50" t="str" cm="1">
        <f t="array" ref="M156">IF(is_category, IF(header_row_id=income_header_row, MATCH(income_min_row, $C:$C, 0), IF(header_row_id=expenses_header_row, MATCH(expenses_min_row, $C:$C, 0), IF(header_row_id=savings_header_row, MATCH(savings_min_row, $C:$C, 0), ""))), "")</f>
        <v/>
      </c>
      <c r="N156" s="51" t="str" cm="1">
        <f t="array" ref="N156">IF(is_category, IF(header_row_id=income_header_row, MATCH(income_max_row, $C:$C, 0), IF(header_row_id=expenses_header_row, MATCH(expenses_max_row, $C:$C, 0), IF(header_row_id=savings_header_row, MATCH(savings_max_row, $C:$C, 0), ""))), "")</f>
        <v/>
      </c>
      <c r="O156" s="50" t="str">
        <f t="shared" si="79"/>
        <v/>
      </c>
      <c r="P156" s="49" t="str">
        <f t="shared" ca="1" si="80"/>
        <v/>
      </c>
      <c r="Q156" s="49" t="str">
        <f t="shared" si="81"/>
        <v/>
      </c>
      <c r="R156" s="51" t="str">
        <f t="shared" ca="1" si="82"/>
        <v/>
      </c>
      <c r="S156" s="50" t="str">
        <f t="shared" si="83"/>
        <v/>
      </c>
      <c r="T156" s="49" t="str">
        <f t="shared" si="84"/>
        <v/>
      </c>
      <c r="U156" s="49" t="str">
        <f t="shared" ca="1" si="85"/>
        <v/>
      </c>
      <c r="V156" s="49" t="str">
        <f t="shared" si="86"/>
        <v/>
      </c>
      <c r="W156" s="47" t="str">
        <f t="shared" ca="1" si="87"/>
        <v/>
      </c>
      <c r="X156" s="56">
        <f t="shared" si="88"/>
        <v>-1</v>
      </c>
      <c r="Y156" s="57" t="str">
        <f t="shared" si="89"/>
        <v/>
      </c>
      <c r="Z156" s="59" t="str">
        <f t="shared" si="90"/>
        <v/>
      </c>
      <c r="AA156" s="59" t="str">
        <f t="shared" si="91"/>
        <v/>
      </c>
      <c r="AB156" s="58" t="str">
        <f t="shared" si="92"/>
        <v/>
      </c>
      <c r="AC156" s="59" t="str">
        <f t="shared" si="93"/>
        <v/>
      </c>
      <c r="AD156" s="59" t="str">
        <f t="shared" si="94"/>
        <v/>
      </c>
    </row>
    <row r="157" spans="3:30" x14ac:dyDescent="0.25">
      <c r="C157" s="4" cm="1">
        <f t="array" ref="C157">IF(C156=-1,-1, IF(C156&lt;income_max_row, C156+1, IF(C156=income_max_row, income_total_row, IF(C156=income_total_row, "/1", IF(C156="/1", expenses_header_row, IF(C156&lt;expenses_max_row, C156+1, IF(C156=expenses_max_row, expenses_total_row, IF(C156=expenses_total_row, "/2", IF(C156="/2", savings_header_row, IF(C156&lt;savings_max_row, C156+1, IF(C156=savings_max_row, savings_total_row, -1)))))))))))</f>
        <v>-1</v>
      </c>
      <c r="D157" s="5">
        <f t="shared" si="76"/>
        <v>-1</v>
      </c>
      <c r="E157" s="4" cm="1">
        <f t="array" ref="E157">1*OR(row_id=income_header_row, row_id=expenses_header_row, row_id=savings_header_row)</f>
        <v>0</v>
      </c>
      <c r="F157">
        <f t="shared" si="77"/>
        <v>0</v>
      </c>
      <c r="G157" cm="1">
        <f t="array" ref="G157">1*OR(row_id=income_total_row, row_id=expenses_total_row, row_id=savings_total_row)</f>
        <v>0</v>
      </c>
      <c r="H157" s="5">
        <f t="shared" si="78"/>
        <v>1</v>
      </c>
      <c r="I157" s="4" t="str" cm="1">
        <f t="array" ref="I157">IFERROR(INDEX('Budget Planning'!$C:$C, header_row_id), "")</f>
        <v/>
      </c>
      <c r="J157" t="str" cm="1">
        <f t="array" ref="J157">IFERROR(INDEX('Budget Planning'!$C:$C, row_id), "")</f>
        <v/>
      </c>
      <c r="K157" s="52" t="str" cm="1">
        <f t="array" ref="K15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7" s="53" t="str" cm="1">
        <f t="array" ref="L157">IF(OR(is_header, is_empty), "", INDEX('Budget Planning'!$E:$EM, row_id, MATCH(IF(selected_period="Total Year", selected_year, DATE(selected_year, selected_period, 1)), 'Budget Planning'!$E$9:$EM$9, 0)))</f>
        <v/>
      </c>
      <c r="M157" s="50" t="str" cm="1">
        <f t="array" ref="M157">IF(is_category, IF(header_row_id=income_header_row, MATCH(income_min_row, $C:$C, 0), IF(header_row_id=expenses_header_row, MATCH(expenses_min_row, $C:$C, 0), IF(header_row_id=savings_header_row, MATCH(savings_min_row, $C:$C, 0), ""))), "")</f>
        <v/>
      </c>
      <c r="N157" s="51" t="str" cm="1">
        <f t="array" ref="N157">IF(is_category, IF(header_row_id=income_header_row, MATCH(income_max_row, $C:$C, 0), IF(header_row_id=expenses_header_row, MATCH(expenses_max_row, $C:$C, 0), IF(header_row_id=savings_header_row, MATCH(savings_max_row, $C:$C, 0), ""))), "")</f>
        <v/>
      </c>
      <c r="O157" s="50" t="str">
        <f t="shared" si="79"/>
        <v/>
      </c>
      <c r="P157" s="49" t="str">
        <f t="shared" ca="1" si="80"/>
        <v/>
      </c>
      <c r="Q157" s="49" t="str">
        <f t="shared" si="81"/>
        <v/>
      </c>
      <c r="R157" s="51" t="str">
        <f t="shared" ca="1" si="82"/>
        <v/>
      </c>
      <c r="S157" s="50" t="str">
        <f t="shared" si="83"/>
        <v/>
      </c>
      <c r="T157" s="49" t="str">
        <f t="shared" si="84"/>
        <v/>
      </c>
      <c r="U157" s="49" t="str">
        <f t="shared" ca="1" si="85"/>
        <v/>
      </c>
      <c r="V157" s="49" t="str">
        <f t="shared" si="86"/>
        <v/>
      </c>
      <c r="W157" s="47" t="str">
        <f t="shared" ca="1" si="87"/>
        <v/>
      </c>
      <c r="X157" s="56">
        <f t="shared" si="88"/>
        <v>-1</v>
      </c>
      <c r="Y157" s="57" t="str">
        <f t="shared" si="89"/>
        <v/>
      </c>
      <c r="Z157" s="59" t="str">
        <f t="shared" si="90"/>
        <v/>
      </c>
      <c r="AA157" s="59" t="str">
        <f t="shared" si="91"/>
        <v/>
      </c>
      <c r="AB157" s="58" t="str">
        <f t="shared" si="92"/>
        <v/>
      </c>
      <c r="AC157" s="59" t="str">
        <f t="shared" si="93"/>
        <v/>
      </c>
      <c r="AD157" s="59" t="str">
        <f t="shared" si="94"/>
        <v/>
      </c>
    </row>
    <row r="158" spans="3:30" x14ac:dyDescent="0.25">
      <c r="C158" s="4" cm="1">
        <f t="array" ref="C158">IF(C157=-1,-1, IF(C157&lt;income_max_row, C157+1, IF(C157=income_max_row, income_total_row, IF(C157=income_total_row, "/1", IF(C157="/1", expenses_header_row, IF(C157&lt;expenses_max_row, C157+1, IF(C157=expenses_max_row, expenses_total_row, IF(C157=expenses_total_row, "/2", IF(C157="/2", savings_header_row, IF(C157&lt;savings_max_row, C157+1, IF(C157=savings_max_row, savings_total_row, -1)))))))))))</f>
        <v>-1</v>
      </c>
      <c r="D158" s="5">
        <f t="shared" si="76"/>
        <v>-1</v>
      </c>
      <c r="E158" s="4" cm="1">
        <f t="array" ref="E158">1*OR(row_id=income_header_row, row_id=expenses_header_row, row_id=savings_header_row)</f>
        <v>0</v>
      </c>
      <c r="F158">
        <f t="shared" si="77"/>
        <v>0</v>
      </c>
      <c r="G158" cm="1">
        <f t="array" ref="G158">1*OR(row_id=income_total_row, row_id=expenses_total_row, row_id=savings_total_row)</f>
        <v>0</v>
      </c>
      <c r="H158" s="5">
        <f t="shared" si="78"/>
        <v>1</v>
      </c>
      <c r="I158" s="4" t="str" cm="1">
        <f t="array" ref="I158">IFERROR(INDEX('Budget Planning'!$C:$C, header_row_id), "")</f>
        <v/>
      </c>
      <c r="J158" t="str" cm="1">
        <f t="array" ref="J158">IFERROR(INDEX('Budget Planning'!$C:$C, row_id), "")</f>
        <v/>
      </c>
      <c r="K158" s="52" t="str" cm="1">
        <f t="array" ref="K15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8" s="53" t="str" cm="1">
        <f t="array" ref="L158">IF(OR(is_header, is_empty), "", INDEX('Budget Planning'!$E:$EM, row_id, MATCH(IF(selected_period="Total Year", selected_year, DATE(selected_year, selected_period, 1)), 'Budget Planning'!$E$9:$EM$9, 0)))</f>
        <v/>
      </c>
      <c r="M158" s="50" t="str" cm="1">
        <f t="array" ref="M158">IF(is_category, IF(header_row_id=income_header_row, MATCH(income_min_row, $C:$C, 0), IF(header_row_id=expenses_header_row, MATCH(expenses_min_row, $C:$C, 0), IF(header_row_id=savings_header_row, MATCH(savings_min_row, $C:$C, 0), ""))), "")</f>
        <v/>
      </c>
      <c r="N158" s="51" t="str" cm="1">
        <f t="array" ref="N158">IF(is_category, IF(header_row_id=income_header_row, MATCH(income_max_row, $C:$C, 0), IF(header_row_id=expenses_header_row, MATCH(expenses_max_row, $C:$C, 0), IF(header_row_id=savings_header_row, MATCH(savings_max_row, $C:$C, 0), ""))), "")</f>
        <v/>
      </c>
      <c r="O158" s="50" t="str">
        <f t="shared" si="79"/>
        <v/>
      </c>
      <c r="P158" s="49" t="str">
        <f t="shared" ca="1" si="80"/>
        <v/>
      </c>
      <c r="Q158" s="49" t="str">
        <f t="shared" si="81"/>
        <v/>
      </c>
      <c r="R158" s="51" t="str">
        <f t="shared" ca="1" si="82"/>
        <v/>
      </c>
      <c r="S158" s="50" t="str">
        <f t="shared" si="83"/>
        <v/>
      </c>
      <c r="T158" s="49" t="str">
        <f t="shared" si="84"/>
        <v/>
      </c>
      <c r="U158" s="49" t="str">
        <f t="shared" ca="1" si="85"/>
        <v/>
      </c>
      <c r="V158" s="49" t="str">
        <f t="shared" si="86"/>
        <v/>
      </c>
      <c r="W158" s="47" t="str">
        <f t="shared" ca="1" si="87"/>
        <v/>
      </c>
      <c r="X158" s="56">
        <f t="shared" si="88"/>
        <v>-1</v>
      </c>
      <c r="Y158" s="57" t="str">
        <f t="shared" si="89"/>
        <v/>
      </c>
      <c r="Z158" s="59" t="str">
        <f t="shared" si="90"/>
        <v/>
      </c>
      <c r="AA158" s="59" t="str">
        <f t="shared" si="91"/>
        <v/>
      </c>
      <c r="AB158" s="58" t="str">
        <f t="shared" si="92"/>
        <v/>
      </c>
      <c r="AC158" s="59" t="str">
        <f t="shared" si="93"/>
        <v/>
      </c>
      <c r="AD158" s="59" t="str">
        <f t="shared" si="94"/>
        <v/>
      </c>
    </row>
    <row r="159" spans="3:30" x14ac:dyDescent="0.25">
      <c r="C159" s="4" cm="1">
        <f t="array" ref="C159">IF(C158=-1,-1, IF(C158&lt;income_max_row, C158+1, IF(C158=income_max_row, income_total_row, IF(C158=income_total_row, "/1", IF(C158="/1", expenses_header_row, IF(C158&lt;expenses_max_row, C158+1, IF(C158=expenses_max_row, expenses_total_row, IF(C158=expenses_total_row, "/2", IF(C158="/2", savings_header_row, IF(C158&lt;savings_max_row, C158+1, IF(C158=savings_max_row, savings_total_row, -1)))))))))))</f>
        <v>-1</v>
      </c>
      <c r="D159" s="5">
        <f t="shared" si="76"/>
        <v>-1</v>
      </c>
      <c r="E159" s="4" cm="1">
        <f t="array" ref="E159">1*OR(row_id=income_header_row, row_id=expenses_header_row, row_id=savings_header_row)</f>
        <v>0</v>
      </c>
      <c r="F159">
        <f t="shared" si="77"/>
        <v>0</v>
      </c>
      <c r="G159" cm="1">
        <f t="array" ref="G159">1*OR(row_id=income_total_row, row_id=expenses_total_row, row_id=savings_total_row)</f>
        <v>0</v>
      </c>
      <c r="H159" s="5">
        <f t="shared" si="78"/>
        <v>1</v>
      </c>
      <c r="I159" s="4" t="str" cm="1">
        <f t="array" ref="I159">IFERROR(INDEX('Budget Planning'!$C:$C, header_row_id), "")</f>
        <v/>
      </c>
      <c r="J159" t="str" cm="1">
        <f t="array" ref="J159">IFERROR(INDEX('Budget Planning'!$C:$C, row_id), "")</f>
        <v/>
      </c>
      <c r="K159" s="52" t="str" cm="1">
        <f t="array" ref="K15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9" s="53" t="str" cm="1">
        <f t="array" ref="L159">IF(OR(is_header, is_empty), "", INDEX('Budget Planning'!$E:$EM, row_id, MATCH(IF(selected_period="Total Year", selected_year, DATE(selected_year, selected_period, 1)), 'Budget Planning'!$E$9:$EM$9, 0)))</f>
        <v/>
      </c>
      <c r="M159" s="50" t="str" cm="1">
        <f t="array" ref="M159">IF(is_category, IF(header_row_id=income_header_row, MATCH(income_min_row, $C:$C, 0), IF(header_row_id=expenses_header_row, MATCH(expenses_min_row, $C:$C, 0), IF(header_row_id=savings_header_row, MATCH(savings_min_row, $C:$C, 0), ""))), "")</f>
        <v/>
      </c>
      <c r="N159" s="51" t="str" cm="1">
        <f t="array" ref="N159">IF(is_category, IF(header_row_id=income_header_row, MATCH(income_max_row, $C:$C, 0), IF(header_row_id=expenses_header_row, MATCH(expenses_max_row, $C:$C, 0), IF(header_row_id=savings_header_row, MATCH(savings_max_row, $C:$C, 0), ""))), "")</f>
        <v/>
      </c>
      <c r="O159" s="50" t="str">
        <f t="shared" si="79"/>
        <v/>
      </c>
      <c r="P159" s="49" t="str">
        <f t="shared" ca="1" si="80"/>
        <v/>
      </c>
      <c r="Q159" s="49" t="str">
        <f t="shared" si="81"/>
        <v/>
      </c>
      <c r="R159" s="51" t="str">
        <f t="shared" ca="1" si="82"/>
        <v/>
      </c>
      <c r="S159" s="50" t="str">
        <f t="shared" si="83"/>
        <v/>
      </c>
      <c r="T159" s="49" t="str">
        <f t="shared" si="84"/>
        <v/>
      </c>
      <c r="U159" s="49" t="str">
        <f t="shared" ca="1" si="85"/>
        <v/>
      </c>
      <c r="V159" s="49" t="str">
        <f t="shared" si="86"/>
        <v/>
      </c>
      <c r="W159" s="47" t="str">
        <f t="shared" ca="1" si="87"/>
        <v/>
      </c>
      <c r="X159" s="56">
        <f t="shared" si="88"/>
        <v>-1</v>
      </c>
      <c r="Y159" s="57" t="str">
        <f t="shared" si="89"/>
        <v/>
      </c>
      <c r="Z159" s="59" t="str">
        <f t="shared" si="90"/>
        <v/>
      </c>
      <c r="AA159" s="59" t="str">
        <f t="shared" si="91"/>
        <v/>
      </c>
      <c r="AB159" s="58" t="str">
        <f t="shared" si="92"/>
        <v/>
      </c>
      <c r="AC159" s="59" t="str">
        <f t="shared" si="93"/>
        <v/>
      </c>
      <c r="AD159" s="59" t="str">
        <f t="shared" si="94"/>
        <v/>
      </c>
    </row>
    <row r="160" spans="3:30" x14ac:dyDescent="0.25">
      <c r="C160" s="4" cm="1">
        <f t="array" ref="C160">IF(C159=-1,-1, IF(C159&lt;income_max_row, C159+1, IF(C159=income_max_row, income_total_row, IF(C159=income_total_row, "/1", IF(C159="/1", expenses_header_row, IF(C159&lt;expenses_max_row, C159+1, IF(C159=expenses_max_row, expenses_total_row, IF(C159=expenses_total_row, "/2", IF(C159="/2", savings_header_row, IF(C159&lt;savings_max_row, C159+1, IF(C159=savings_max_row, savings_total_row, -1)))))))))))</f>
        <v>-1</v>
      </c>
      <c r="D160" s="5">
        <f t="shared" si="76"/>
        <v>-1</v>
      </c>
      <c r="E160" s="4" cm="1">
        <f t="array" ref="E160">1*OR(row_id=income_header_row, row_id=expenses_header_row, row_id=savings_header_row)</f>
        <v>0</v>
      </c>
      <c r="F160">
        <f t="shared" si="77"/>
        <v>0</v>
      </c>
      <c r="G160" cm="1">
        <f t="array" ref="G160">1*OR(row_id=income_total_row, row_id=expenses_total_row, row_id=savings_total_row)</f>
        <v>0</v>
      </c>
      <c r="H160" s="5">
        <f t="shared" si="78"/>
        <v>1</v>
      </c>
      <c r="I160" s="4" t="str" cm="1">
        <f t="array" ref="I160">IFERROR(INDEX('Budget Planning'!$C:$C, header_row_id), "")</f>
        <v/>
      </c>
      <c r="J160" t="str" cm="1">
        <f t="array" ref="J160">IFERROR(INDEX('Budget Planning'!$C:$C, row_id), "")</f>
        <v/>
      </c>
      <c r="K160" s="52" t="str" cm="1">
        <f t="array" ref="K16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0" s="53" t="str" cm="1">
        <f t="array" ref="L160">IF(OR(is_header, is_empty), "", INDEX('Budget Planning'!$E:$EM, row_id, MATCH(IF(selected_period="Total Year", selected_year, DATE(selected_year, selected_period, 1)), 'Budget Planning'!$E$9:$EM$9, 0)))</f>
        <v/>
      </c>
      <c r="M160" s="50" t="str" cm="1">
        <f t="array" ref="M160">IF(is_category, IF(header_row_id=income_header_row, MATCH(income_min_row, $C:$C, 0), IF(header_row_id=expenses_header_row, MATCH(expenses_min_row, $C:$C, 0), IF(header_row_id=savings_header_row, MATCH(savings_min_row, $C:$C, 0), ""))), "")</f>
        <v/>
      </c>
      <c r="N160" s="51" t="str" cm="1">
        <f t="array" ref="N160">IF(is_category, IF(header_row_id=income_header_row, MATCH(income_max_row, $C:$C, 0), IF(header_row_id=expenses_header_row, MATCH(expenses_max_row, $C:$C, 0), IF(header_row_id=savings_header_row, MATCH(savings_max_row, $C:$C, 0), ""))), "")</f>
        <v/>
      </c>
      <c r="O160" s="50" t="str">
        <f t="shared" si="79"/>
        <v/>
      </c>
      <c r="P160" s="49" t="str">
        <f t="shared" ca="1" si="80"/>
        <v/>
      </c>
      <c r="Q160" s="49" t="str">
        <f t="shared" si="81"/>
        <v/>
      </c>
      <c r="R160" s="51" t="str">
        <f t="shared" ca="1" si="82"/>
        <v/>
      </c>
      <c r="S160" s="50" t="str">
        <f t="shared" si="83"/>
        <v/>
      </c>
      <c r="T160" s="49" t="str">
        <f t="shared" si="84"/>
        <v/>
      </c>
      <c r="U160" s="49" t="str">
        <f t="shared" ca="1" si="85"/>
        <v/>
      </c>
      <c r="V160" s="49" t="str">
        <f t="shared" si="86"/>
        <v/>
      </c>
      <c r="W160" s="47" t="str">
        <f t="shared" ca="1" si="87"/>
        <v/>
      </c>
      <c r="X160" s="56">
        <f t="shared" si="88"/>
        <v>-1</v>
      </c>
      <c r="Y160" s="57" t="str">
        <f t="shared" si="89"/>
        <v/>
      </c>
      <c r="Z160" s="59" t="str">
        <f t="shared" si="90"/>
        <v/>
      </c>
      <c r="AA160" s="59" t="str">
        <f t="shared" si="91"/>
        <v/>
      </c>
      <c r="AB160" s="58" t="str">
        <f t="shared" si="92"/>
        <v/>
      </c>
      <c r="AC160" s="59" t="str">
        <f t="shared" si="93"/>
        <v/>
      </c>
      <c r="AD160" s="59" t="str">
        <f t="shared" si="94"/>
        <v/>
      </c>
    </row>
    <row r="161" spans="3:30" x14ac:dyDescent="0.25">
      <c r="C161" s="4" cm="1">
        <f t="array" ref="C161">IF(C160=-1,-1, IF(C160&lt;income_max_row, C160+1, IF(C160=income_max_row, income_total_row, IF(C160=income_total_row, "/1", IF(C160="/1", expenses_header_row, IF(C160&lt;expenses_max_row, C160+1, IF(C160=expenses_max_row, expenses_total_row, IF(C160=expenses_total_row, "/2", IF(C160="/2", savings_header_row, IF(C160&lt;savings_max_row, C160+1, IF(C160=savings_max_row, savings_total_row, -1)))))))))))</f>
        <v>-1</v>
      </c>
      <c r="D161" s="5">
        <f t="shared" si="76"/>
        <v>-1</v>
      </c>
      <c r="E161" s="4" cm="1">
        <f t="array" ref="E161">1*OR(row_id=income_header_row, row_id=expenses_header_row, row_id=savings_header_row)</f>
        <v>0</v>
      </c>
      <c r="F161">
        <f t="shared" si="77"/>
        <v>0</v>
      </c>
      <c r="G161" cm="1">
        <f t="array" ref="G161">1*OR(row_id=income_total_row, row_id=expenses_total_row, row_id=savings_total_row)</f>
        <v>0</v>
      </c>
      <c r="H161" s="5">
        <f t="shared" si="78"/>
        <v>1</v>
      </c>
      <c r="I161" s="4" t="str" cm="1">
        <f t="array" ref="I161">IFERROR(INDEX('Budget Planning'!$C:$C, header_row_id), "")</f>
        <v/>
      </c>
      <c r="J161" t="str" cm="1">
        <f t="array" ref="J161">IFERROR(INDEX('Budget Planning'!$C:$C, row_id), "")</f>
        <v/>
      </c>
      <c r="K161" s="52" t="str" cm="1">
        <f t="array" ref="K16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1" s="53" t="str" cm="1">
        <f t="array" ref="L161">IF(OR(is_header, is_empty), "", INDEX('Budget Planning'!$E:$EM, row_id, MATCH(IF(selected_period="Total Year", selected_year, DATE(selected_year, selected_period, 1)), 'Budget Planning'!$E$9:$EM$9, 0)))</f>
        <v/>
      </c>
      <c r="M161" s="50" t="str" cm="1">
        <f t="array" ref="M161">IF(is_category, IF(header_row_id=income_header_row, MATCH(income_min_row, $C:$C, 0), IF(header_row_id=expenses_header_row, MATCH(expenses_min_row, $C:$C, 0), IF(header_row_id=savings_header_row, MATCH(savings_min_row, $C:$C, 0), ""))), "")</f>
        <v/>
      </c>
      <c r="N161" s="51" t="str" cm="1">
        <f t="array" ref="N161">IF(is_category, IF(header_row_id=income_header_row, MATCH(income_max_row, $C:$C, 0), IF(header_row_id=expenses_header_row, MATCH(expenses_max_row, $C:$C, 0), IF(header_row_id=savings_header_row, MATCH(savings_max_row, $C:$C, 0), ""))), "")</f>
        <v/>
      </c>
      <c r="O161" s="50" t="str">
        <f t="shared" si="79"/>
        <v/>
      </c>
      <c r="P161" s="49" t="str">
        <f t="shared" ca="1" si="80"/>
        <v/>
      </c>
      <c r="Q161" s="49" t="str">
        <f t="shared" si="81"/>
        <v/>
      </c>
      <c r="R161" s="51" t="str">
        <f t="shared" ca="1" si="82"/>
        <v/>
      </c>
      <c r="S161" s="50" t="str">
        <f t="shared" si="83"/>
        <v/>
      </c>
      <c r="T161" s="49" t="str">
        <f t="shared" si="84"/>
        <v/>
      </c>
      <c r="U161" s="49" t="str">
        <f t="shared" ca="1" si="85"/>
        <v/>
      </c>
      <c r="V161" s="49" t="str">
        <f t="shared" si="86"/>
        <v/>
      </c>
      <c r="W161" s="47" t="str">
        <f t="shared" ca="1" si="87"/>
        <v/>
      </c>
      <c r="X161" s="56">
        <f t="shared" si="88"/>
        <v>-1</v>
      </c>
      <c r="Y161" s="57" t="str">
        <f t="shared" si="89"/>
        <v/>
      </c>
      <c r="Z161" s="59" t="str">
        <f t="shared" si="90"/>
        <v/>
      </c>
      <c r="AA161" s="59" t="str">
        <f t="shared" si="91"/>
        <v/>
      </c>
      <c r="AB161" s="58" t="str">
        <f t="shared" si="92"/>
        <v/>
      </c>
      <c r="AC161" s="59" t="str">
        <f t="shared" si="93"/>
        <v/>
      </c>
      <c r="AD161" s="59" t="str">
        <f t="shared" si="94"/>
        <v/>
      </c>
    </row>
    <row r="162" spans="3:30" x14ac:dyDescent="0.25">
      <c r="C162" s="4" cm="1">
        <f t="array" ref="C162">IF(C161=-1,-1, IF(C161&lt;income_max_row, C161+1, IF(C161=income_max_row, income_total_row, IF(C161=income_total_row, "/1", IF(C161="/1", expenses_header_row, IF(C161&lt;expenses_max_row, C161+1, IF(C161=expenses_max_row, expenses_total_row, IF(C161=expenses_total_row, "/2", IF(C161="/2", savings_header_row, IF(C161&lt;savings_max_row, C161+1, IF(C161=savings_max_row, savings_total_row, -1)))))))))))</f>
        <v>-1</v>
      </c>
      <c r="D162" s="5">
        <f t="shared" si="76"/>
        <v>-1</v>
      </c>
      <c r="E162" s="4" cm="1">
        <f t="array" ref="E162">1*OR(row_id=income_header_row, row_id=expenses_header_row, row_id=savings_header_row)</f>
        <v>0</v>
      </c>
      <c r="F162">
        <f t="shared" si="77"/>
        <v>0</v>
      </c>
      <c r="G162" cm="1">
        <f t="array" ref="G162">1*OR(row_id=income_total_row, row_id=expenses_total_row, row_id=savings_total_row)</f>
        <v>0</v>
      </c>
      <c r="H162" s="5">
        <f t="shared" si="78"/>
        <v>1</v>
      </c>
      <c r="I162" s="4" t="str" cm="1">
        <f t="array" ref="I162">IFERROR(INDEX('Budget Planning'!$C:$C, header_row_id), "")</f>
        <v/>
      </c>
      <c r="J162" t="str" cm="1">
        <f t="array" ref="J162">IFERROR(INDEX('Budget Planning'!$C:$C, row_id), "")</f>
        <v/>
      </c>
      <c r="K162" s="52" t="str" cm="1">
        <f t="array" ref="K16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2" s="53" t="str" cm="1">
        <f t="array" ref="L162">IF(OR(is_header, is_empty), "", INDEX('Budget Planning'!$E:$EM, row_id, MATCH(IF(selected_period="Total Year", selected_year, DATE(selected_year, selected_period, 1)), 'Budget Planning'!$E$9:$EM$9, 0)))</f>
        <v/>
      </c>
      <c r="M162" s="50" t="str" cm="1">
        <f t="array" ref="M162">IF(is_category, IF(header_row_id=income_header_row, MATCH(income_min_row, $C:$C, 0), IF(header_row_id=expenses_header_row, MATCH(expenses_min_row, $C:$C, 0), IF(header_row_id=savings_header_row, MATCH(savings_min_row, $C:$C, 0), ""))), "")</f>
        <v/>
      </c>
      <c r="N162" s="51" t="str" cm="1">
        <f t="array" ref="N162">IF(is_category, IF(header_row_id=income_header_row, MATCH(income_max_row, $C:$C, 0), IF(header_row_id=expenses_header_row, MATCH(expenses_max_row, $C:$C, 0), IF(header_row_id=savings_header_row, MATCH(savings_max_row, $C:$C, 0), ""))), "")</f>
        <v/>
      </c>
      <c r="O162" s="50" t="str">
        <f t="shared" si="79"/>
        <v/>
      </c>
      <c r="P162" s="49" t="str">
        <f t="shared" ca="1" si="80"/>
        <v/>
      </c>
      <c r="Q162" s="49" t="str">
        <f t="shared" si="81"/>
        <v/>
      </c>
      <c r="R162" s="51" t="str">
        <f t="shared" ca="1" si="82"/>
        <v/>
      </c>
      <c r="S162" s="50" t="str">
        <f t="shared" si="83"/>
        <v/>
      </c>
      <c r="T162" s="49" t="str">
        <f t="shared" si="84"/>
        <v/>
      </c>
      <c r="U162" s="49" t="str">
        <f t="shared" ca="1" si="85"/>
        <v/>
      </c>
      <c r="V162" s="49" t="str">
        <f t="shared" si="86"/>
        <v/>
      </c>
      <c r="W162" s="47" t="str">
        <f t="shared" ca="1" si="87"/>
        <v/>
      </c>
      <c r="X162" s="56">
        <f t="shared" si="88"/>
        <v>-1</v>
      </c>
      <c r="Y162" s="57" t="str">
        <f t="shared" si="89"/>
        <v/>
      </c>
      <c r="Z162" s="59" t="str">
        <f t="shared" si="90"/>
        <v/>
      </c>
      <c r="AA162" s="59" t="str">
        <f t="shared" si="91"/>
        <v/>
      </c>
      <c r="AB162" s="58" t="str">
        <f t="shared" si="92"/>
        <v/>
      </c>
      <c r="AC162" s="59" t="str">
        <f t="shared" si="93"/>
        <v/>
      </c>
      <c r="AD162" s="59" t="str">
        <f t="shared" si="94"/>
        <v/>
      </c>
    </row>
    <row r="163" spans="3:30" x14ac:dyDescent="0.25">
      <c r="C163" s="4" cm="1">
        <f t="array" ref="C163">IF(C162=-1,-1, IF(C162&lt;income_max_row, C162+1, IF(C162=income_max_row, income_total_row, IF(C162=income_total_row, "/1", IF(C162="/1", expenses_header_row, IF(C162&lt;expenses_max_row, C162+1, IF(C162=expenses_max_row, expenses_total_row, IF(C162=expenses_total_row, "/2", IF(C162="/2", savings_header_row, IF(C162&lt;savings_max_row, C162+1, IF(C162=savings_max_row, savings_total_row, -1)))))))))))</f>
        <v>-1</v>
      </c>
      <c r="D163" s="5">
        <f t="shared" si="76"/>
        <v>-1</v>
      </c>
      <c r="E163" s="4" cm="1">
        <f t="array" ref="E163">1*OR(row_id=income_header_row, row_id=expenses_header_row, row_id=savings_header_row)</f>
        <v>0</v>
      </c>
      <c r="F163">
        <f t="shared" si="77"/>
        <v>0</v>
      </c>
      <c r="G163" cm="1">
        <f t="array" ref="G163">1*OR(row_id=income_total_row, row_id=expenses_total_row, row_id=savings_total_row)</f>
        <v>0</v>
      </c>
      <c r="H163" s="5">
        <f t="shared" si="78"/>
        <v>1</v>
      </c>
      <c r="I163" s="4" t="str" cm="1">
        <f t="array" ref="I163">IFERROR(INDEX('Budget Planning'!$C:$C, header_row_id), "")</f>
        <v/>
      </c>
      <c r="J163" t="str" cm="1">
        <f t="array" ref="J163">IFERROR(INDEX('Budget Planning'!$C:$C, row_id), "")</f>
        <v/>
      </c>
      <c r="K163" s="52" t="str" cm="1">
        <f t="array" ref="K16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3" s="53" t="str" cm="1">
        <f t="array" ref="L163">IF(OR(is_header, is_empty), "", INDEX('Budget Planning'!$E:$EM, row_id, MATCH(IF(selected_period="Total Year", selected_year, DATE(selected_year, selected_period, 1)), 'Budget Planning'!$E$9:$EM$9, 0)))</f>
        <v/>
      </c>
      <c r="M163" s="50" t="str" cm="1">
        <f t="array" ref="M163">IF(is_category, IF(header_row_id=income_header_row, MATCH(income_min_row, $C:$C, 0), IF(header_row_id=expenses_header_row, MATCH(expenses_min_row, $C:$C, 0), IF(header_row_id=savings_header_row, MATCH(savings_min_row, $C:$C, 0), ""))), "")</f>
        <v/>
      </c>
      <c r="N163" s="51" t="str" cm="1">
        <f t="array" ref="N163">IF(is_category, IF(header_row_id=income_header_row, MATCH(income_max_row, $C:$C, 0), IF(header_row_id=expenses_header_row, MATCH(expenses_max_row, $C:$C, 0), IF(header_row_id=savings_header_row, MATCH(savings_max_row, $C:$C, 0), ""))), "")</f>
        <v/>
      </c>
      <c r="O163" s="50" t="str">
        <f t="shared" si="79"/>
        <v/>
      </c>
      <c r="P163" s="49" t="str">
        <f t="shared" ca="1" si="80"/>
        <v/>
      </c>
      <c r="Q163" s="49" t="str">
        <f t="shared" si="81"/>
        <v/>
      </c>
      <c r="R163" s="51" t="str">
        <f t="shared" ca="1" si="82"/>
        <v/>
      </c>
      <c r="S163" s="50" t="str">
        <f t="shared" si="83"/>
        <v/>
      </c>
      <c r="T163" s="49" t="str">
        <f t="shared" si="84"/>
        <v/>
      </c>
      <c r="U163" s="49" t="str">
        <f t="shared" ca="1" si="85"/>
        <v/>
      </c>
      <c r="V163" s="49" t="str">
        <f t="shared" si="86"/>
        <v/>
      </c>
      <c r="W163" s="47" t="str">
        <f t="shared" ca="1" si="87"/>
        <v/>
      </c>
      <c r="X163" s="56">
        <f t="shared" si="88"/>
        <v>-1</v>
      </c>
      <c r="Y163" s="57" t="str">
        <f t="shared" si="89"/>
        <v/>
      </c>
      <c r="Z163" s="59" t="str">
        <f t="shared" si="90"/>
        <v/>
      </c>
      <c r="AA163" s="59" t="str">
        <f t="shared" si="91"/>
        <v/>
      </c>
      <c r="AB163" s="58" t="str">
        <f t="shared" si="92"/>
        <v/>
      </c>
      <c r="AC163" s="59" t="str">
        <f t="shared" si="93"/>
        <v/>
      </c>
      <c r="AD163" s="59" t="str">
        <f t="shared" si="94"/>
        <v/>
      </c>
    </row>
    <row r="164" spans="3:30" x14ac:dyDescent="0.25">
      <c r="C164" s="4" cm="1">
        <f t="array" ref="C164">IF(C163=-1,-1, IF(C163&lt;income_max_row, C163+1, IF(C163=income_max_row, income_total_row, IF(C163=income_total_row, "/1", IF(C163="/1", expenses_header_row, IF(C163&lt;expenses_max_row, C163+1, IF(C163=expenses_max_row, expenses_total_row, IF(C163=expenses_total_row, "/2", IF(C163="/2", savings_header_row, IF(C163&lt;savings_max_row, C163+1, IF(C163=savings_max_row, savings_total_row, -1)))))))))))</f>
        <v>-1</v>
      </c>
      <c r="D164" s="5">
        <f t="shared" si="76"/>
        <v>-1</v>
      </c>
      <c r="E164" s="4" cm="1">
        <f t="array" ref="E164">1*OR(row_id=income_header_row, row_id=expenses_header_row, row_id=savings_header_row)</f>
        <v>0</v>
      </c>
      <c r="F164">
        <f t="shared" si="77"/>
        <v>0</v>
      </c>
      <c r="G164" cm="1">
        <f t="array" ref="G164">1*OR(row_id=income_total_row, row_id=expenses_total_row, row_id=savings_total_row)</f>
        <v>0</v>
      </c>
      <c r="H164" s="5">
        <f t="shared" si="78"/>
        <v>1</v>
      </c>
      <c r="I164" s="4" t="str" cm="1">
        <f t="array" ref="I164">IFERROR(INDEX('Budget Planning'!$C:$C, header_row_id), "")</f>
        <v/>
      </c>
      <c r="J164" t="str" cm="1">
        <f t="array" ref="J164">IFERROR(INDEX('Budget Planning'!$C:$C, row_id), "")</f>
        <v/>
      </c>
      <c r="K164" s="52" t="str" cm="1">
        <f t="array" ref="K16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4" s="53" t="str" cm="1">
        <f t="array" ref="L164">IF(OR(is_header, is_empty), "", INDEX('Budget Planning'!$E:$EM, row_id, MATCH(IF(selected_period="Total Year", selected_year, DATE(selected_year, selected_period, 1)), 'Budget Planning'!$E$9:$EM$9, 0)))</f>
        <v/>
      </c>
      <c r="M164" s="50" t="str" cm="1">
        <f t="array" ref="M164">IF(is_category, IF(header_row_id=income_header_row, MATCH(income_min_row, $C:$C, 0), IF(header_row_id=expenses_header_row, MATCH(expenses_min_row, $C:$C, 0), IF(header_row_id=savings_header_row, MATCH(savings_min_row, $C:$C, 0), ""))), "")</f>
        <v/>
      </c>
      <c r="N164" s="51" t="str" cm="1">
        <f t="array" ref="N164">IF(is_category, IF(header_row_id=income_header_row, MATCH(income_max_row, $C:$C, 0), IF(header_row_id=expenses_header_row, MATCH(expenses_max_row, $C:$C, 0), IF(header_row_id=savings_header_row, MATCH(savings_max_row, $C:$C, 0), ""))), "")</f>
        <v/>
      </c>
      <c r="O164" s="50" t="str">
        <f t="shared" si="79"/>
        <v/>
      </c>
      <c r="P164" s="49" t="str">
        <f t="shared" ca="1" si="80"/>
        <v/>
      </c>
      <c r="Q164" s="49" t="str">
        <f t="shared" si="81"/>
        <v/>
      </c>
      <c r="R164" s="51" t="str">
        <f t="shared" ca="1" si="82"/>
        <v/>
      </c>
      <c r="S164" s="50" t="str">
        <f t="shared" si="83"/>
        <v/>
      </c>
      <c r="T164" s="49" t="str">
        <f t="shared" si="84"/>
        <v/>
      </c>
      <c r="U164" s="49" t="str">
        <f t="shared" ca="1" si="85"/>
        <v/>
      </c>
      <c r="V164" s="49" t="str">
        <f t="shared" si="86"/>
        <v/>
      </c>
      <c r="W164" s="47" t="str">
        <f t="shared" ca="1" si="87"/>
        <v/>
      </c>
      <c r="X164" s="56">
        <f t="shared" si="88"/>
        <v>-1</v>
      </c>
      <c r="Y164" s="57" t="str">
        <f t="shared" si="89"/>
        <v/>
      </c>
      <c r="Z164" s="59" t="str">
        <f t="shared" si="90"/>
        <v/>
      </c>
      <c r="AA164" s="59" t="str">
        <f t="shared" si="91"/>
        <v/>
      </c>
      <c r="AB164" s="58" t="str">
        <f t="shared" si="92"/>
        <v/>
      </c>
      <c r="AC164" s="59" t="str">
        <f t="shared" si="93"/>
        <v/>
      </c>
      <c r="AD164" s="59" t="str">
        <f t="shared" si="94"/>
        <v/>
      </c>
    </row>
    <row r="165" spans="3:30" x14ac:dyDescent="0.25">
      <c r="C165" s="4" cm="1">
        <f t="array" ref="C165">IF(C164=-1,-1, IF(C164&lt;income_max_row, C164+1, IF(C164=income_max_row, income_total_row, IF(C164=income_total_row, "/1", IF(C164="/1", expenses_header_row, IF(C164&lt;expenses_max_row, C164+1, IF(C164=expenses_max_row, expenses_total_row, IF(C164=expenses_total_row, "/2", IF(C164="/2", savings_header_row, IF(C164&lt;savings_max_row, C164+1, IF(C164=savings_max_row, savings_total_row, -1)))))))))))</f>
        <v>-1</v>
      </c>
      <c r="D165" s="5">
        <f t="shared" si="76"/>
        <v>-1</v>
      </c>
      <c r="E165" s="4" cm="1">
        <f t="array" ref="E165">1*OR(row_id=income_header_row, row_id=expenses_header_row, row_id=savings_header_row)</f>
        <v>0</v>
      </c>
      <c r="F165">
        <f t="shared" si="77"/>
        <v>0</v>
      </c>
      <c r="G165" cm="1">
        <f t="array" ref="G165">1*OR(row_id=income_total_row, row_id=expenses_total_row, row_id=savings_total_row)</f>
        <v>0</v>
      </c>
      <c r="H165" s="5">
        <f t="shared" si="78"/>
        <v>1</v>
      </c>
      <c r="I165" s="4" t="str" cm="1">
        <f t="array" ref="I165">IFERROR(INDEX('Budget Planning'!$C:$C, header_row_id), "")</f>
        <v/>
      </c>
      <c r="J165" t="str" cm="1">
        <f t="array" ref="J165">IFERROR(INDEX('Budget Planning'!$C:$C, row_id), "")</f>
        <v/>
      </c>
      <c r="K165" s="52" t="str" cm="1">
        <f t="array" ref="K16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5" s="53" t="str" cm="1">
        <f t="array" ref="L165">IF(OR(is_header, is_empty), "", INDEX('Budget Planning'!$E:$EM, row_id, MATCH(IF(selected_period="Total Year", selected_year, DATE(selected_year, selected_period, 1)), 'Budget Planning'!$E$9:$EM$9, 0)))</f>
        <v/>
      </c>
      <c r="M165" s="50" t="str" cm="1">
        <f t="array" ref="M165">IF(is_category, IF(header_row_id=income_header_row, MATCH(income_min_row, $C:$C, 0), IF(header_row_id=expenses_header_row, MATCH(expenses_min_row, $C:$C, 0), IF(header_row_id=savings_header_row, MATCH(savings_min_row, $C:$C, 0), ""))), "")</f>
        <v/>
      </c>
      <c r="N165" s="51" t="str" cm="1">
        <f t="array" ref="N165">IF(is_category, IF(header_row_id=income_header_row, MATCH(income_max_row, $C:$C, 0), IF(header_row_id=expenses_header_row, MATCH(expenses_max_row, $C:$C, 0), IF(header_row_id=savings_header_row, MATCH(savings_max_row, $C:$C, 0), ""))), "")</f>
        <v/>
      </c>
      <c r="O165" s="50" t="str">
        <f t="shared" si="79"/>
        <v/>
      </c>
      <c r="P165" s="49" t="str">
        <f t="shared" ca="1" si="80"/>
        <v/>
      </c>
      <c r="Q165" s="49" t="str">
        <f t="shared" si="81"/>
        <v/>
      </c>
      <c r="R165" s="51" t="str">
        <f t="shared" ca="1" si="82"/>
        <v/>
      </c>
      <c r="S165" s="50" t="str">
        <f t="shared" si="83"/>
        <v/>
      </c>
      <c r="T165" s="49" t="str">
        <f t="shared" si="84"/>
        <v/>
      </c>
      <c r="U165" s="49" t="str">
        <f t="shared" ca="1" si="85"/>
        <v/>
      </c>
      <c r="V165" s="49" t="str">
        <f t="shared" si="86"/>
        <v/>
      </c>
      <c r="W165" s="47" t="str">
        <f t="shared" ca="1" si="87"/>
        <v/>
      </c>
      <c r="X165" s="56">
        <f t="shared" si="88"/>
        <v>-1</v>
      </c>
      <c r="Y165" s="57" t="str">
        <f t="shared" si="89"/>
        <v/>
      </c>
      <c r="Z165" s="59" t="str">
        <f t="shared" si="90"/>
        <v/>
      </c>
      <c r="AA165" s="59" t="str">
        <f t="shared" si="91"/>
        <v/>
      </c>
      <c r="AB165" s="58" t="str">
        <f t="shared" si="92"/>
        <v/>
      </c>
      <c r="AC165" s="59" t="str">
        <f t="shared" si="93"/>
        <v/>
      </c>
      <c r="AD165" s="59" t="str">
        <f t="shared" si="94"/>
        <v/>
      </c>
    </row>
    <row r="166" spans="3:30" x14ac:dyDescent="0.25">
      <c r="C166" s="4" cm="1">
        <f t="array" ref="C166">IF(C165=-1,-1, IF(C165&lt;income_max_row, C165+1, IF(C165=income_max_row, income_total_row, IF(C165=income_total_row, "/1", IF(C165="/1", expenses_header_row, IF(C165&lt;expenses_max_row, C165+1, IF(C165=expenses_max_row, expenses_total_row, IF(C165=expenses_total_row, "/2", IF(C165="/2", savings_header_row, IF(C165&lt;savings_max_row, C165+1, IF(C165=savings_max_row, savings_total_row, -1)))))))))))</f>
        <v>-1</v>
      </c>
      <c r="D166" s="5">
        <f t="shared" si="76"/>
        <v>-1</v>
      </c>
      <c r="E166" s="4" cm="1">
        <f t="array" ref="E166">1*OR(row_id=income_header_row, row_id=expenses_header_row, row_id=savings_header_row)</f>
        <v>0</v>
      </c>
      <c r="F166">
        <f t="shared" si="77"/>
        <v>0</v>
      </c>
      <c r="G166" cm="1">
        <f t="array" ref="G166">1*OR(row_id=income_total_row, row_id=expenses_total_row, row_id=savings_total_row)</f>
        <v>0</v>
      </c>
      <c r="H166" s="5">
        <f t="shared" si="78"/>
        <v>1</v>
      </c>
      <c r="I166" s="4" t="str" cm="1">
        <f t="array" ref="I166">IFERROR(INDEX('Budget Planning'!$C:$C, header_row_id), "")</f>
        <v/>
      </c>
      <c r="J166" t="str" cm="1">
        <f t="array" ref="J166">IFERROR(INDEX('Budget Planning'!$C:$C, row_id), "")</f>
        <v/>
      </c>
      <c r="K166" s="52" t="str" cm="1">
        <f t="array" ref="K16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6" s="53" t="str" cm="1">
        <f t="array" ref="L166">IF(OR(is_header, is_empty), "", INDEX('Budget Planning'!$E:$EM, row_id, MATCH(IF(selected_period="Total Year", selected_year, DATE(selected_year, selected_period, 1)), 'Budget Planning'!$E$9:$EM$9, 0)))</f>
        <v/>
      </c>
      <c r="M166" s="50" t="str" cm="1">
        <f t="array" ref="M166">IF(is_category, IF(header_row_id=income_header_row, MATCH(income_min_row, $C:$C, 0), IF(header_row_id=expenses_header_row, MATCH(expenses_min_row, $C:$C, 0), IF(header_row_id=savings_header_row, MATCH(savings_min_row, $C:$C, 0), ""))), "")</f>
        <v/>
      </c>
      <c r="N166" s="51" t="str" cm="1">
        <f t="array" ref="N166">IF(is_category, IF(header_row_id=income_header_row, MATCH(income_max_row, $C:$C, 0), IF(header_row_id=expenses_header_row, MATCH(expenses_max_row, $C:$C, 0), IF(header_row_id=savings_header_row, MATCH(savings_max_row, $C:$C, 0), ""))), "")</f>
        <v/>
      </c>
      <c r="O166" s="50" t="str">
        <f t="shared" si="79"/>
        <v/>
      </c>
      <c r="P166" s="49" t="str">
        <f t="shared" ca="1" si="80"/>
        <v/>
      </c>
      <c r="Q166" s="49" t="str">
        <f t="shared" si="81"/>
        <v/>
      </c>
      <c r="R166" s="51" t="str">
        <f t="shared" ca="1" si="82"/>
        <v/>
      </c>
      <c r="S166" s="50" t="str">
        <f t="shared" si="83"/>
        <v/>
      </c>
      <c r="T166" s="49" t="str">
        <f t="shared" si="84"/>
        <v/>
      </c>
      <c r="U166" s="49" t="str">
        <f t="shared" ca="1" si="85"/>
        <v/>
      </c>
      <c r="V166" s="49" t="str">
        <f t="shared" si="86"/>
        <v/>
      </c>
      <c r="W166" s="47" t="str">
        <f t="shared" ca="1" si="87"/>
        <v/>
      </c>
      <c r="X166" s="56">
        <f t="shared" si="88"/>
        <v>-1</v>
      </c>
      <c r="Y166" s="57" t="str">
        <f t="shared" si="89"/>
        <v/>
      </c>
      <c r="Z166" s="59" t="str">
        <f t="shared" si="90"/>
        <v/>
      </c>
      <c r="AA166" s="59" t="str">
        <f t="shared" si="91"/>
        <v/>
      </c>
      <c r="AB166" s="58" t="str">
        <f t="shared" si="92"/>
        <v/>
      </c>
      <c r="AC166" s="59" t="str">
        <f t="shared" si="93"/>
        <v/>
      </c>
      <c r="AD166" s="59" t="str">
        <f t="shared" si="94"/>
        <v/>
      </c>
    </row>
    <row r="167" spans="3:30" x14ac:dyDescent="0.25">
      <c r="C167" s="4" cm="1">
        <f t="array" ref="C167">IF(C166=-1,-1, IF(C166&lt;income_max_row, C166+1, IF(C166=income_max_row, income_total_row, IF(C166=income_total_row, "/1", IF(C166="/1", expenses_header_row, IF(C166&lt;expenses_max_row, C166+1, IF(C166=expenses_max_row, expenses_total_row, IF(C166=expenses_total_row, "/2", IF(C166="/2", savings_header_row, IF(C166&lt;savings_max_row, C166+1, IF(C166=savings_max_row, savings_total_row, -1)))))))))))</f>
        <v>-1</v>
      </c>
      <c r="D167" s="5">
        <f t="shared" si="76"/>
        <v>-1</v>
      </c>
      <c r="E167" s="4" cm="1">
        <f t="array" ref="E167">1*OR(row_id=income_header_row, row_id=expenses_header_row, row_id=savings_header_row)</f>
        <v>0</v>
      </c>
      <c r="F167">
        <f t="shared" si="77"/>
        <v>0</v>
      </c>
      <c r="G167" cm="1">
        <f t="array" ref="G167">1*OR(row_id=income_total_row, row_id=expenses_total_row, row_id=savings_total_row)</f>
        <v>0</v>
      </c>
      <c r="H167" s="5">
        <f t="shared" si="78"/>
        <v>1</v>
      </c>
      <c r="I167" s="4" t="str" cm="1">
        <f t="array" ref="I167">IFERROR(INDEX('Budget Planning'!$C:$C, header_row_id), "")</f>
        <v/>
      </c>
      <c r="J167" t="str" cm="1">
        <f t="array" ref="J167">IFERROR(INDEX('Budget Planning'!$C:$C, row_id), "")</f>
        <v/>
      </c>
      <c r="K167" s="52" t="str" cm="1">
        <f t="array" ref="K16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7" s="53" t="str" cm="1">
        <f t="array" ref="L167">IF(OR(is_header, is_empty), "", INDEX('Budget Planning'!$E:$EM, row_id, MATCH(IF(selected_period="Total Year", selected_year, DATE(selected_year, selected_period, 1)), 'Budget Planning'!$E$9:$EM$9, 0)))</f>
        <v/>
      </c>
      <c r="M167" s="50" t="str" cm="1">
        <f t="array" ref="M167">IF(is_category, IF(header_row_id=income_header_row, MATCH(income_min_row, $C:$C, 0), IF(header_row_id=expenses_header_row, MATCH(expenses_min_row, $C:$C, 0), IF(header_row_id=savings_header_row, MATCH(savings_min_row, $C:$C, 0), ""))), "")</f>
        <v/>
      </c>
      <c r="N167" s="51" t="str" cm="1">
        <f t="array" ref="N167">IF(is_category, IF(header_row_id=income_header_row, MATCH(income_max_row, $C:$C, 0), IF(header_row_id=expenses_header_row, MATCH(expenses_max_row, $C:$C, 0), IF(header_row_id=savings_header_row, MATCH(savings_max_row, $C:$C, 0), ""))), "")</f>
        <v/>
      </c>
      <c r="O167" s="50" t="str">
        <f t="shared" si="79"/>
        <v/>
      </c>
      <c r="P167" s="49" t="str">
        <f t="shared" ca="1" si="80"/>
        <v/>
      </c>
      <c r="Q167" s="49" t="str">
        <f t="shared" si="81"/>
        <v/>
      </c>
      <c r="R167" s="51" t="str">
        <f t="shared" ca="1" si="82"/>
        <v/>
      </c>
      <c r="S167" s="50" t="str">
        <f t="shared" si="83"/>
        <v/>
      </c>
      <c r="T167" s="49" t="str">
        <f t="shared" si="84"/>
        <v/>
      </c>
      <c r="U167" s="49" t="str">
        <f t="shared" ca="1" si="85"/>
        <v/>
      </c>
      <c r="V167" s="49" t="str">
        <f t="shared" si="86"/>
        <v/>
      </c>
      <c r="W167" s="47" t="str">
        <f t="shared" ca="1" si="87"/>
        <v/>
      </c>
      <c r="X167" s="56">
        <f t="shared" si="88"/>
        <v>-1</v>
      </c>
      <c r="Y167" s="57" t="str">
        <f t="shared" si="89"/>
        <v/>
      </c>
      <c r="Z167" s="59" t="str">
        <f t="shared" si="90"/>
        <v/>
      </c>
      <c r="AA167" s="59" t="str">
        <f t="shared" si="91"/>
        <v/>
      </c>
      <c r="AB167" s="58" t="str">
        <f t="shared" si="92"/>
        <v/>
      </c>
      <c r="AC167" s="59" t="str">
        <f t="shared" si="93"/>
        <v/>
      </c>
      <c r="AD167" s="59" t="str">
        <f t="shared" si="94"/>
        <v/>
      </c>
    </row>
    <row r="168" spans="3:30" x14ac:dyDescent="0.25">
      <c r="C168" s="4" cm="1">
        <f t="array" ref="C168">IF(C167=-1,-1, IF(C167&lt;income_max_row, C167+1, IF(C167=income_max_row, income_total_row, IF(C167=income_total_row, "/1", IF(C167="/1", expenses_header_row, IF(C167&lt;expenses_max_row, C167+1, IF(C167=expenses_max_row, expenses_total_row, IF(C167=expenses_total_row, "/2", IF(C167="/2", savings_header_row, IF(C167&lt;savings_max_row, C167+1, IF(C167=savings_max_row, savings_total_row, -1)))))))))))</f>
        <v>-1</v>
      </c>
      <c r="D168" s="5">
        <f t="shared" si="76"/>
        <v>-1</v>
      </c>
      <c r="E168" s="4" cm="1">
        <f t="array" ref="E168">1*OR(row_id=income_header_row, row_id=expenses_header_row, row_id=savings_header_row)</f>
        <v>0</v>
      </c>
      <c r="F168">
        <f t="shared" si="77"/>
        <v>0</v>
      </c>
      <c r="G168" cm="1">
        <f t="array" ref="G168">1*OR(row_id=income_total_row, row_id=expenses_total_row, row_id=savings_total_row)</f>
        <v>0</v>
      </c>
      <c r="H168" s="5">
        <f t="shared" si="78"/>
        <v>1</v>
      </c>
      <c r="I168" s="4" t="str" cm="1">
        <f t="array" ref="I168">IFERROR(INDEX('Budget Planning'!$C:$C, header_row_id), "")</f>
        <v/>
      </c>
      <c r="J168" t="str" cm="1">
        <f t="array" ref="J168">IFERROR(INDEX('Budget Planning'!$C:$C, row_id), "")</f>
        <v/>
      </c>
      <c r="K168" s="52" t="str" cm="1">
        <f t="array" ref="K16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8" s="53" t="str" cm="1">
        <f t="array" ref="L168">IF(OR(is_header, is_empty), "", INDEX('Budget Planning'!$E:$EM, row_id, MATCH(IF(selected_period="Total Year", selected_year, DATE(selected_year, selected_period, 1)), 'Budget Planning'!$E$9:$EM$9, 0)))</f>
        <v/>
      </c>
      <c r="M168" s="50" t="str" cm="1">
        <f t="array" ref="M168">IF(is_category, IF(header_row_id=income_header_row, MATCH(income_min_row, $C:$C, 0), IF(header_row_id=expenses_header_row, MATCH(expenses_min_row, $C:$C, 0), IF(header_row_id=savings_header_row, MATCH(savings_min_row, $C:$C, 0), ""))), "")</f>
        <v/>
      </c>
      <c r="N168" s="51" t="str" cm="1">
        <f t="array" ref="N168">IF(is_category, IF(header_row_id=income_header_row, MATCH(income_max_row, $C:$C, 0), IF(header_row_id=expenses_header_row, MATCH(expenses_max_row, $C:$C, 0), IF(header_row_id=savings_header_row, MATCH(savings_max_row, $C:$C, 0), ""))), "")</f>
        <v/>
      </c>
      <c r="O168" s="50" t="str">
        <f t="shared" si="79"/>
        <v/>
      </c>
      <c r="P168" s="49" t="str">
        <f t="shared" ca="1" si="80"/>
        <v/>
      </c>
      <c r="Q168" s="49" t="str">
        <f t="shared" si="81"/>
        <v/>
      </c>
      <c r="R168" s="51" t="str">
        <f t="shared" ca="1" si="82"/>
        <v/>
      </c>
      <c r="S168" s="50" t="str">
        <f t="shared" si="83"/>
        <v/>
      </c>
      <c r="T168" s="49" t="str">
        <f t="shared" si="84"/>
        <v/>
      </c>
      <c r="U168" s="49" t="str">
        <f t="shared" ca="1" si="85"/>
        <v/>
      </c>
      <c r="V168" s="49" t="str">
        <f t="shared" si="86"/>
        <v/>
      </c>
      <c r="W168" s="47" t="str">
        <f t="shared" ca="1" si="87"/>
        <v/>
      </c>
      <c r="X168" s="56">
        <f t="shared" si="88"/>
        <v>-1</v>
      </c>
      <c r="Y168" s="57" t="str">
        <f t="shared" si="89"/>
        <v/>
      </c>
      <c r="Z168" s="59" t="str">
        <f t="shared" si="90"/>
        <v/>
      </c>
      <c r="AA168" s="59" t="str">
        <f t="shared" si="91"/>
        <v/>
      </c>
      <c r="AB168" s="58" t="str">
        <f t="shared" si="92"/>
        <v/>
      </c>
      <c r="AC168" s="59" t="str">
        <f t="shared" si="93"/>
        <v/>
      </c>
      <c r="AD168" s="59" t="str">
        <f t="shared" si="94"/>
        <v/>
      </c>
    </row>
    <row r="169" spans="3:30" x14ac:dyDescent="0.25">
      <c r="C169" s="4" cm="1">
        <f t="array" ref="C169">IF(C168=-1,-1, IF(C168&lt;income_max_row, C168+1, IF(C168=income_max_row, income_total_row, IF(C168=income_total_row, "/1", IF(C168="/1", expenses_header_row, IF(C168&lt;expenses_max_row, C168+1, IF(C168=expenses_max_row, expenses_total_row, IF(C168=expenses_total_row, "/2", IF(C168="/2", savings_header_row, IF(C168&lt;savings_max_row, C168+1, IF(C168=savings_max_row, savings_total_row, -1)))))))))))</f>
        <v>-1</v>
      </c>
      <c r="D169" s="5">
        <f t="shared" si="76"/>
        <v>-1</v>
      </c>
      <c r="E169" s="4" cm="1">
        <f t="array" ref="E169">1*OR(row_id=income_header_row, row_id=expenses_header_row, row_id=savings_header_row)</f>
        <v>0</v>
      </c>
      <c r="F169">
        <f t="shared" si="77"/>
        <v>0</v>
      </c>
      <c r="G169" cm="1">
        <f t="array" ref="G169">1*OR(row_id=income_total_row, row_id=expenses_total_row, row_id=savings_total_row)</f>
        <v>0</v>
      </c>
      <c r="H169" s="5">
        <f t="shared" si="78"/>
        <v>1</v>
      </c>
      <c r="I169" s="4" t="str" cm="1">
        <f t="array" ref="I169">IFERROR(INDEX('Budget Planning'!$C:$C, header_row_id), "")</f>
        <v/>
      </c>
      <c r="J169" t="str" cm="1">
        <f t="array" ref="J169">IFERROR(INDEX('Budget Planning'!$C:$C, row_id), "")</f>
        <v/>
      </c>
      <c r="K169" s="52" t="str" cm="1">
        <f t="array" ref="K16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9" s="53" t="str" cm="1">
        <f t="array" ref="L169">IF(OR(is_header, is_empty), "", INDEX('Budget Planning'!$E:$EM, row_id, MATCH(IF(selected_period="Total Year", selected_year, DATE(selected_year, selected_period, 1)), 'Budget Planning'!$E$9:$EM$9, 0)))</f>
        <v/>
      </c>
      <c r="M169" s="50" t="str" cm="1">
        <f t="array" ref="M169">IF(is_category, IF(header_row_id=income_header_row, MATCH(income_min_row, $C:$C, 0), IF(header_row_id=expenses_header_row, MATCH(expenses_min_row, $C:$C, 0), IF(header_row_id=savings_header_row, MATCH(savings_min_row, $C:$C, 0), ""))), "")</f>
        <v/>
      </c>
      <c r="N169" s="51" t="str" cm="1">
        <f t="array" ref="N169">IF(is_category, IF(header_row_id=income_header_row, MATCH(income_max_row, $C:$C, 0), IF(header_row_id=expenses_header_row, MATCH(expenses_max_row, $C:$C, 0), IF(header_row_id=savings_header_row, MATCH(savings_max_row, $C:$C, 0), ""))), "")</f>
        <v/>
      </c>
      <c r="O169" s="50" t="str">
        <f t="shared" si="79"/>
        <v/>
      </c>
      <c r="P169" s="49" t="str">
        <f t="shared" ca="1" si="80"/>
        <v/>
      </c>
      <c r="Q169" s="49" t="str">
        <f t="shared" si="81"/>
        <v/>
      </c>
      <c r="R169" s="51" t="str">
        <f t="shared" ca="1" si="82"/>
        <v/>
      </c>
      <c r="S169" s="50" t="str">
        <f t="shared" si="83"/>
        <v/>
      </c>
      <c r="T169" s="49" t="str">
        <f t="shared" si="84"/>
        <v/>
      </c>
      <c r="U169" s="49" t="str">
        <f t="shared" ca="1" si="85"/>
        <v/>
      </c>
      <c r="V169" s="49" t="str">
        <f t="shared" si="86"/>
        <v/>
      </c>
      <c r="W169" s="47" t="str">
        <f t="shared" ca="1" si="87"/>
        <v/>
      </c>
      <c r="X169" s="56">
        <f t="shared" si="88"/>
        <v>-1</v>
      </c>
      <c r="Y169" s="57" t="str">
        <f t="shared" si="89"/>
        <v/>
      </c>
      <c r="Z169" s="59" t="str">
        <f t="shared" si="90"/>
        <v/>
      </c>
      <c r="AA169" s="59" t="str">
        <f t="shared" si="91"/>
        <v/>
      </c>
      <c r="AB169" s="58" t="str">
        <f t="shared" si="92"/>
        <v/>
      </c>
      <c r="AC169" s="59" t="str">
        <f t="shared" si="93"/>
        <v/>
      </c>
      <c r="AD169" s="59" t="str">
        <f t="shared" si="94"/>
        <v/>
      </c>
    </row>
    <row r="170" spans="3:30" x14ac:dyDescent="0.25">
      <c r="C170" s="4" cm="1">
        <f t="array" ref="C170">IF(C169=-1,-1, IF(C169&lt;income_max_row, C169+1, IF(C169=income_max_row, income_total_row, IF(C169=income_total_row, "/1", IF(C169="/1", expenses_header_row, IF(C169&lt;expenses_max_row, C169+1, IF(C169=expenses_max_row, expenses_total_row, IF(C169=expenses_total_row, "/2", IF(C169="/2", savings_header_row, IF(C169&lt;savings_max_row, C169+1, IF(C169=savings_max_row, savings_total_row, -1)))))))))))</f>
        <v>-1</v>
      </c>
      <c r="D170" s="5">
        <f t="shared" si="76"/>
        <v>-1</v>
      </c>
      <c r="E170" s="4" cm="1">
        <f t="array" ref="E170">1*OR(row_id=income_header_row, row_id=expenses_header_row, row_id=savings_header_row)</f>
        <v>0</v>
      </c>
      <c r="F170">
        <f t="shared" si="77"/>
        <v>0</v>
      </c>
      <c r="G170" cm="1">
        <f t="array" ref="G170">1*OR(row_id=income_total_row, row_id=expenses_total_row, row_id=savings_total_row)</f>
        <v>0</v>
      </c>
      <c r="H170" s="5">
        <f t="shared" si="78"/>
        <v>1</v>
      </c>
      <c r="I170" s="4" t="str" cm="1">
        <f t="array" ref="I170">IFERROR(INDEX('Budget Planning'!$C:$C, header_row_id), "")</f>
        <v/>
      </c>
      <c r="J170" t="str" cm="1">
        <f t="array" ref="J170">IFERROR(INDEX('Budget Planning'!$C:$C, row_id), "")</f>
        <v/>
      </c>
      <c r="K170" s="52" t="str" cm="1">
        <f t="array" ref="K17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0" s="53" t="str" cm="1">
        <f t="array" ref="L170">IF(OR(is_header, is_empty), "", INDEX('Budget Planning'!$E:$EM, row_id, MATCH(IF(selected_period="Total Year", selected_year, DATE(selected_year, selected_period, 1)), 'Budget Planning'!$E$9:$EM$9, 0)))</f>
        <v/>
      </c>
      <c r="M170" s="50" t="str" cm="1">
        <f t="array" ref="M170">IF(is_category, IF(header_row_id=income_header_row, MATCH(income_min_row, $C:$C, 0), IF(header_row_id=expenses_header_row, MATCH(expenses_min_row, $C:$C, 0), IF(header_row_id=savings_header_row, MATCH(savings_min_row, $C:$C, 0), ""))), "")</f>
        <v/>
      </c>
      <c r="N170" s="51" t="str" cm="1">
        <f t="array" ref="N170">IF(is_category, IF(header_row_id=income_header_row, MATCH(income_max_row, $C:$C, 0), IF(header_row_id=expenses_header_row, MATCH(expenses_max_row, $C:$C, 0), IF(header_row_id=savings_header_row, MATCH(savings_max_row, $C:$C, 0), ""))), "")</f>
        <v/>
      </c>
      <c r="O170" s="50" t="str">
        <f t="shared" si="79"/>
        <v/>
      </c>
      <c r="P170" s="49" t="str">
        <f t="shared" ca="1" si="80"/>
        <v/>
      </c>
      <c r="Q170" s="49" t="str">
        <f t="shared" si="81"/>
        <v/>
      </c>
      <c r="R170" s="51" t="str">
        <f t="shared" ca="1" si="82"/>
        <v/>
      </c>
      <c r="S170" s="50" t="str">
        <f t="shared" si="83"/>
        <v/>
      </c>
      <c r="T170" s="49" t="str">
        <f t="shared" si="84"/>
        <v/>
      </c>
      <c r="U170" s="49" t="str">
        <f t="shared" ca="1" si="85"/>
        <v/>
      </c>
      <c r="V170" s="49" t="str">
        <f t="shared" si="86"/>
        <v/>
      </c>
      <c r="W170" s="47" t="str">
        <f t="shared" ca="1" si="87"/>
        <v/>
      </c>
      <c r="X170" s="56">
        <f t="shared" si="88"/>
        <v>-1</v>
      </c>
      <c r="Y170" s="57" t="str">
        <f t="shared" si="89"/>
        <v/>
      </c>
      <c r="Z170" s="59" t="str">
        <f t="shared" si="90"/>
        <v/>
      </c>
      <c r="AA170" s="59" t="str">
        <f t="shared" si="91"/>
        <v/>
      </c>
      <c r="AB170" s="58" t="str">
        <f t="shared" si="92"/>
        <v/>
      </c>
      <c r="AC170" s="59" t="str">
        <f t="shared" si="93"/>
        <v/>
      </c>
      <c r="AD170" s="59" t="str">
        <f t="shared" si="94"/>
        <v/>
      </c>
    </row>
    <row r="171" spans="3:30" x14ac:dyDescent="0.25">
      <c r="C171" s="4" cm="1">
        <f t="array" ref="C171">IF(C170=-1,-1, IF(C170&lt;income_max_row, C170+1, IF(C170=income_max_row, income_total_row, IF(C170=income_total_row, "/1", IF(C170="/1", expenses_header_row, IF(C170&lt;expenses_max_row, C170+1, IF(C170=expenses_max_row, expenses_total_row, IF(C170=expenses_total_row, "/2", IF(C170="/2", savings_header_row, IF(C170&lt;savings_max_row, C170+1, IF(C170=savings_max_row, savings_total_row, -1)))))))))))</f>
        <v>-1</v>
      </c>
      <c r="D171" s="5">
        <f t="shared" si="76"/>
        <v>-1</v>
      </c>
      <c r="E171" s="4" cm="1">
        <f t="array" ref="E171">1*OR(row_id=income_header_row, row_id=expenses_header_row, row_id=savings_header_row)</f>
        <v>0</v>
      </c>
      <c r="F171">
        <f t="shared" si="77"/>
        <v>0</v>
      </c>
      <c r="G171" cm="1">
        <f t="array" ref="G171">1*OR(row_id=income_total_row, row_id=expenses_total_row, row_id=savings_total_row)</f>
        <v>0</v>
      </c>
      <c r="H171" s="5">
        <f t="shared" si="78"/>
        <v>1</v>
      </c>
      <c r="I171" s="4" t="str" cm="1">
        <f t="array" ref="I171">IFERROR(INDEX('Budget Planning'!$C:$C, header_row_id), "")</f>
        <v/>
      </c>
      <c r="J171" t="str" cm="1">
        <f t="array" ref="J171">IFERROR(INDEX('Budget Planning'!$C:$C, row_id), "")</f>
        <v/>
      </c>
      <c r="K171" s="52" t="str" cm="1">
        <f t="array" ref="K17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1" s="53" t="str" cm="1">
        <f t="array" ref="L171">IF(OR(is_header, is_empty), "", INDEX('Budget Planning'!$E:$EM, row_id, MATCH(IF(selected_period="Total Year", selected_year, DATE(selected_year, selected_period, 1)), 'Budget Planning'!$E$9:$EM$9, 0)))</f>
        <v/>
      </c>
      <c r="M171" s="50" t="str" cm="1">
        <f t="array" ref="M171">IF(is_category, IF(header_row_id=income_header_row, MATCH(income_min_row, $C:$C, 0), IF(header_row_id=expenses_header_row, MATCH(expenses_min_row, $C:$C, 0), IF(header_row_id=savings_header_row, MATCH(savings_min_row, $C:$C, 0), ""))), "")</f>
        <v/>
      </c>
      <c r="N171" s="51" t="str" cm="1">
        <f t="array" ref="N171">IF(is_category, IF(header_row_id=income_header_row, MATCH(income_max_row, $C:$C, 0), IF(header_row_id=expenses_header_row, MATCH(expenses_max_row, $C:$C, 0), IF(header_row_id=savings_header_row, MATCH(savings_max_row, $C:$C, 0), ""))), "")</f>
        <v/>
      </c>
      <c r="O171" s="50" t="str">
        <f t="shared" si="79"/>
        <v/>
      </c>
      <c r="P171" s="49" t="str">
        <f t="shared" ca="1" si="80"/>
        <v/>
      </c>
      <c r="Q171" s="49" t="str">
        <f t="shared" si="81"/>
        <v/>
      </c>
      <c r="R171" s="51" t="str">
        <f t="shared" ca="1" si="82"/>
        <v/>
      </c>
      <c r="S171" s="50" t="str">
        <f t="shared" si="83"/>
        <v/>
      </c>
      <c r="T171" s="49" t="str">
        <f t="shared" si="84"/>
        <v/>
      </c>
      <c r="U171" s="49" t="str">
        <f t="shared" ca="1" si="85"/>
        <v/>
      </c>
      <c r="V171" s="49" t="str">
        <f t="shared" si="86"/>
        <v/>
      </c>
      <c r="W171" s="47" t="str">
        <f t="shared" ca="1" si="87"/>
        <v/>
      </c>
      <c r="X171" s="56">
        <f t="shared" si="88"/>
        <v>-1</v>
      </c>
      <c r="Y171" s="57" t="str">
        <f t="shared" si="89"/>
        <v/>
      </c>
      <c r="Z171" s="59" t="str">
        <f t="shared" si="90"/>
        <v/>
      </c>
      <c r="AA171" s="59" t="str">
        <f t="shared" si="91"/>
        <v/>
      </c>
      <c r="AB171" s="58" t="str">
        <f t="shared" si="92"/>
        <v/>
      </c>
      <c r="AC171" s="59" t="str">
        <f t="shared" si="93"/>
        <v/>
      </c>
      <c r="AD171" s="59" t="str">
        <f t="shared" si="94"/>
        <v/>
      </c>
    </row>
    <row r="172" spans="3:30" x14ac:dyDescent="0.25">
      <c r="C172" s="4" cm="1">
        <f t="array" ref="C172">IF(C171=-1,-1, IF(C171&lt;income_max_row, C171+1, IF(C171=income_max_row, income_total_row, IF(C171=income_total_row, "/1", IF(C171="/1", expenses_header_row, IF(C171&lt;expenses_max_row, C171+1, IF(C171=expenses_max_row, expenses_total_row, IF(C171=expenses_total_row, "/2", IF(C171="/2", savings_header_row, IF(C171&lt;savings_max_row, C171+1, IF(C171=savings_max_row, savings_total_row, -1)))))))))))</f>
        <v>-1</v>
      </c>
      <c r="D172" s="5">
        <f t="shared" si="76"/>
        <v>-1</v>
      </c>
      <c r="E172" s="4" cm="1">
        <f t="array" ref="E172">1*OR(row_id=income_header_row, row_id=expenses_header_row, row_id=savings_header_row)</f>
        <v>0</v>
      </c>
      <c r="F172">
        <f t="shared" si="77"/>
        <v>0</v>
      </c>
      <c r="G172" cm="1">
        <f t="array" ref="G172">1*OR(row_id=income_total_row, row_id=expenses_total_row, row_id=savings_total_row)</f>
        <v>0</v>
      </c>
      <c r="H172" s="5">
        <f t="shared" si="78"/>
        <v>1</v>
      </c>
      <c r="I172" s="4" t="str" cm="1">
        <f t="array" ref="I172">IFERROR(INDEX('Budget Planning'!$C:$C, header_row_id), "")</f>
        <v/>
      </c>
      <c r="J172" t="str" cm="1">
        <f t="array" ref="J172">IFERROR(INDEX('Budget Planning'!$C:$C, row_id), "")</f>
        <v/>
      </c>
      <c r="K172" s="52" t="str" cm="1">
        <f t="array" ref="K17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2" s="53" t="str" cm="1">
        <f t="array" ref="L172">IF(OR(is_header, is_empty), "", INDEX('Budget Planning'!$E:$EM, row_id, MATCH(IF(selected_period="Total Year", selected_year, DATE(selected_year, selected_period, 1)), 'Budget Planning'!$E$9:$EM$9, 0)))</f>
        <v/>
      </c>
      <c r="M172" s="50" t="str" cm="1">
        <f t="array" ref="M172">IF(is_category, IF(header_row_id=income_header_row, MATCH(income_min_row, $C:$C, 0), IF(header_row_id=expenses_header_row, MATCH(expenses_min_row, $C:$C, 0), IF(header_row_id=savings_header_row, MATCH(savings_min_row, $C:$C, 0), ""))), "")</f>
        <v/>
      </c>
      <c r="N172" s="51" t="str" cm="1">
        <f t="array" ref="N172">IF(is_category, IF(header_row_id=income_header_row, MATCH(income_max_row, $C:$C, 0), IF(header_row_id=expenses_header_row, MATCH(expenses_max_row, $C:$C, 0), IF(header_row_id=savings_header_row, MATCH(savings_max_row, $C:$C, 0), ""))), "")</f>
        <v/>
      </c>
      <c r="O172" s="50" t="str">
        <f t="shared" si="79"/>
        <v/>
      </c>
      <c r="P172" s="49" t="str">
        <f t="shared" ca="1" si="80"/>
        <v/>
      </c>
      <c r="Q172" s="49" t="str">
        <f t="shared" si="81"/>
        <v/>
      </c>
      <c r="R172" s="51" t="str">
        <f t="shared" ca="1" si="82"/>
        <v/>
      </c>
      <c r="S172" s="50" t="str">
        <f t="shared" si="83"/>
        <v/>
      </c>
      <c r="T172" s="49" t="str">
        <f t="shared" si="84"/>
        <v/>
      </c>
      <c r="U172" s="49" t="str">
        <f t="shared" ca="1" si="85"/>
        <v/>
      </c>
      <c r="V172" s="49" t="str">
        <f t="shared" si="86"/>
        <v/>
      </c>
      <c r="W172" s="47" t="str">
        <f t="shared" ca="1" si="87"/>
        <v/>
      </c>
      <c r="X172" s="56">
        <f t="shared" si="88"/>
        <v>-1</v>
      </c>
      <c r="Y172" s="57" t="str">
        <f t="shared" si="89"/>
        <v/>
      </c>
      <c r="Z172" s="59" t="str">
        <f t="shared" si="90"/>
        <v/>
      </c>
      <c r="AA172" s="59" t="str">
        <f t="shared" si="91"/>
        <v/>
      </c>
      <c r="AB172" s="58" t="str">
        <f t="shared" si="92"/>
        <v/>
      </c>
      <c r="AC172" s="59" t="str">
        <f t="shared" si="93"/>
        <v/>
      </c>
      <c r="AD172" s="59" t="str">
        <f t="shared" si="94"/>
        <v/>
      </c>
    </row>
    <row r="173" spans="3:30" x14ac:dyDescent="0.25">
      <c r="C173" s="4" cm="1">
        <f t="array" ref="C173">IF(C172=-1,-1, IF(C172&lt;income_max_row, C172+1, IF(C172=income_max_row, income_total_row, IF(C172=income_total_row, "/1", IF(C172="/1", expenses_header_row, IF(C172&lt;expenses_max_row, C172+1, IF(C172=expenses_max_row, expenses_total_row, IF(C172=expenses_total_row, "/2", IF(C172="/2", savings_header_row, IF(C172&lt;savings_max_row, C172+1, IF(C172=savings_max_row, savings_total_row, -1)))))))))))</f>
        <v>-1</v>
      </c>
      <c r="D173" s="5">
        <f t="shared" ref="D173:D200" si="95">IF(is_header, row_id, IF(NOT(is_empty), D172, -1))</f>
        <v>-1</v>
      </c>
      <c r="E173" s="4" cm="1">
        <f t="array" ref="E173">1*OR(row_id=income_header_row, row_id=expenses_header_row, row_id=savings_header_row)</f>
        <v>0</v>
      </c>
      <c r="F173">
        <f t="shared" ref="F173:F200" si="96">1*NOT(OR(is_header, is_total, is_empty))</f>
        <v>0</v>
      </c>
      <c r="G173" cm="1">
        <f t="array" ref="G173">1*OR(row_id=income_total_row, row_id=expenses_total_row, row_id=savings_total_row)</f>
        <v>0</v>
      </c>
      <c r="H173" s="5">
        <f t="shared" ref="H173:H200" si="97">1*OR(row_id="/1", row_id="/2", row_id=-1)</f>
        <v>1</v>
      </c>
      <c r="I173" s="4" t="str" cm="1">
        <f t="array" ref="I173">IFERROR(INDEX('Budget Planning'!$C:$C, header_row_id), "")</f>
        <v/>
      </c>
      <c r="J173" t="str" cm="1">
        <f t="array" ref="J173">IFERROR(INDEX('Budget Planning'!$C:$C, row_id), "")</f>
        <v/>
      </c>
      <c r="K173" s="52" t="str" cm="1">
        <f t="array" ref="K17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3" s="53" t="str" cm="1">
        <f t="array" ref="L173">IF(OR(is_header, is_empty), "", INDEX('Budget Planning'!$E:$EM, row_id, MATCH(IF(selected_period="Total Year", selected_year, DATE(selected_year, selected_period, 1)), 'Budget Planning'!$E$9:$EM$9, 0)))</f>
        <v/>
      </c>
      <c r="M173" s="50" t="str" cm="1">
        <f t="array" ref="M173">IF(is_category, IF(header_row_id=income_header_row, MATCH(income_min_row, $C:$C, 0), IF(header_row_id=expenses_header_row, MATCH(expenses_min_row, $C:$C, 0), IF(header_row_id=savings_header_row, MATCH(savings_min_row, $C:$C, 0), ""))), "")</f>
        <v/>
      </c>
      <c r="N173" s="51" t="str" cm="1">
        <f t="array" ref="N173">IF(is_category, IF(header_row_id=income_header_row, MATCH(income_max_row, $C:$C, 0), IF(header_row_id=expenses_header_row, MATCH(expenses_max_row, $C:$C, 0), IF(header_row_id=savings_header_row, MATCH(savings_max_row, $C:$C, 0), ""))), "")</f>
        <v/>
      </c>
      <c r="O173" s="50" t="str">
        <f t="shared" ref="O173:O200" si="98">IF(is_category, ADDRESS(sort_min_row, COLUMN(tracked)) &amp; ":" &amp; ADDRESS(sort_max_row, COLUMN(tracked)), "")</f>
        <v/>
      </c>
      <c r="P173" s="49" t="str">
        <f t="shared" ref="P173:P200" ca="1" si="99">IF(is_category, RANK(tracked, INDIRECT(tracked_range), 0), "")</f>
        <v/>
      </c>
      <c r="Q173" s="49" t="str">
        <f t="shared" ref="Q173:Q200" si="100">IF(is_category, ADDRESS(sort_min_row, COLUMN(budget)) &amp; ":" &amp; ADDRESS(sort_max_row, COLUMN(budget)), "")</f>
        <v/>
      </c>
      <c r="R173" s="51" t="str">
        <f t="shared" ref="R173:R200" ca="1" si="101">IF(is_category, RANK(budget, INDIRECT(budget_range), 0), "")</f>
        <v/>
      </c>
      <c r="S173" s="50" t="str">
        <f t="shared" ref="S173:S200" si="102">IF(is_category, _xlfn.NUMBERVALUE(tracker_rank &amp; budget_rank), "")</f>
        <v/>
      </c>
      <c r="T173" s="49" t="str">
        <f t="shared" ref="T173:T200" si="103">IF(is_category, ADDRESS(sort_min_row, COLUMN(combined_rank)) &amp; ":" &amp; ADDRESS(sort_max_row, COLUMN(combined_rank)), "")</f>
        <v/>
      </c>
      <c r="U173" s="49" t="str">
        <f t="shared" ref="U173:U200" ca="1" si="104">IF(is_category, RANK(combined_rank, INDIRECT(combined_rank_range), 1), "")</f>
        <v/>
      </c>
      <c r="V173" s="49" t="str">
        <f t="shared" ref="V173:V200" si="105">IF(is_category, ADDRESS(sort_min_row, COLUMN(combined_rank_norm)) &amp; ":" &amp; ADDRESS(ROW(), COLUMN(combined_rank_norm)), "")</f>
        <v/>
      </c>
      <c r="W173" s="47" t="str">
        <f t="shared" ref="W173:W200" ca="1" si="106">IF(is_category, combined_rank_norm + COUNTIF(INDIRECT(combined_rank_norm_run_range), combined_rank_norm)-1, "")</f>
        <v/>
      </c>
      <c r="X173" s="56">
        <f t="shared" ref="X173:X200" si="107">IF(is_category, header_row_id + combined_rank_unique, row_id)</f>
        <v>-1</v>
      </c>
      <c r="Y173" s="57" t="str">
        <f t="shared" ref="Y173:Y200" si="108">IF(is_empty, "", INDEX($J:$J, MATCH(row_id, $X:$X, 0)))</f>
        <v/>
      </c>
      <c r="Z173" s="59" t="str">
        <f t="shared" ref="Z173:Z200" si="109">IF(is_empty, "", IF(is_header, "Tracked", INDEX($K:$K, MATCH(row_id, $X:$X, 0))))</f>
        <v/>
      </c>
      <c r="AA173" s="59" t="str">
        <f t="shared" ref="AA173:AA200" si="110">IF(is_empty, "", IF(is_header, "Budget", INDEX($L:$L, MATCH(row_id, $X:$X, 0))))</f>
        <v/>
      </c>
      <c r="AB173" s="58" t="str">
        <f t="shared" ref="AB173:AB200" si="111">IF(is_empty, "", IF(is_header, "% Compl.", IFERROR(out_tracked / out_budget, "-")))</f>
        <v/>
      </c>
      <c r="AC173" s="59" t="str">
        <f t="shared" ref="AC173:AC200" si="112">IF(is_empty, "", IF(is_header, "Remaining", IF(out_budget - out_tracked &gt; 0, out_budget - out_tracked, 0)))</f>
        <v/>
      </c>
      <c r="AD173" s="59" t="str">
        <f t="shared" ref="AD173:AD200" si="113">IF(is_empty, "", IF(is_header, "Excess", IF(out_budget - out_tracked &lt; 0, out_tracked - out_budget, 0)))</f>
        <v/>
      </c>
    </row>
    <row r="174" spans="3:30" x14ac:dyDescent="0.25">
      <c r="C174" s="4" cm="1">
        <f t="array" ref="C174">IF(C173=-1,-1, IF(C173&lt;income_max_row, C173+1, IF(C173=income_max_row, income_total_row, IF(C173=income_total_row, "/1", IF(C173="/1", expenses_header_row, IF(C173&lt;expenses_max_row, C173+1, IF(C173=expenses_max_row, expenses_total_row, IF(C173=expenses_total_row, "/2", IF(C173="/2", savings_header_row, IF(C173&lt;savings_max_row, C173+1, IF(C173=savings_max_row, savings_total_row, -1)))))))))))</f>
        <v>-1</v>
      </c>
      <c r="D174" s="5">
        <f t="shared" si="95"/>
        <v>-1</v>
      </c>
      <c r="E174" s="4" cm="1">
        <f t="array" ref="E174">1*OR(row_id=income_header_row, row_id=expenses_header_row, row_id=savings_header_row)</f>
        <v>0</v>
      </c>
      <c r="F174">
        <f t="shared" si="96"/>
        <v>0</v>
      </c>
      <c r="G174" cm="1">
        <f t="array" ref="G174">1*OR(row_id=income_total_row, row_id=expenses_total_row, row_id=savings_total_row)</f>
        <v>0</v>
      </c>
      <c r="H174" s="5">
        <f t="shared" si="97"/>
        <v>1</v>
      </c>
      <c r="I174" s="4" t="str" cm="1">
        <f t="array" ref="I174">IFERROR(INDEX('Budget Planning'!$C:$C, header_row_id), "")</f>
        <v/>
      </c>
      <c r="J174" t="str" cm="1">
        <f t="array" ref="J174">IFERROR(INDEX('Budget Planning'!$C:$C, row_id), "")</f>
        <v/>
      </c>
      <c r="K174" s="52" t="str" cm="1">
        <f t="array" ref="K17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4" s="53" t="str" cm="1">
        <f t="array" ref="L174">IF(OR(is_header, is_empty), "", INDEX('Budget Planning'!$E:$EM, row_id, MATCH(IF(selected_period="Total Year", selected_year, DATE(selected_year, selected_period, 1)), 'Budget Planning'!$E$9:$EM$9, 0)))</f>
        <v/>
      </c>
      <c r="M174" s="50" t="str" cm="1">
        <f t="array" ref="M174">IF(is_category, IF(header_row_id=income_header_row, MATCH(income_min_row, $C:$C, 0), IF(header_row_id=expenses_header_row, MATCH(expenses_min_row, $C:$C, 0), IF(header_row_id=savings_header_row, MATCH(savings_min_row, $C:$C, 0), ""))), "")</f>
        <v/>
      </c>
      <c r="N174" s="51" t="str" cm="1">
        <f t="array" ref="N174">IF(is_category, IF(header_row_id=income_header_row, MATCH(income_max_row, $C:$C, 0), IF(header_row_id=expenses_header_row, MATCH(expenses_max_row, $C:$C, 0), IF(header_row_id=savings_header_row, MATCH(savings_max_row, $C:$C, 0), ""))), "")</f>
        <v/>
      </c>
      <c r="O174" s="50" t="str">
        <f t="shared" si="98"/>
        <v/>
      </c>
      <c r="P174" s="49" t="str">
        <f t="shared" ca="1" si="99"/>
        <v/>
      </c>
      <c r="Q174" s="49" t="str">
        <f t="shared" si="100"/>
        <v/>
      </c>
      <c r="R174" s="51" t="str">
        <f t="shared" ca="1" si="101"/>
        <v/>
      </c>
      <c r="S174" s="50" t="str">
        <f t="shared" si="102"/>
        <v/>
      </c>
      <c r="T174" s="49" t="str">
        <f t="shared" si="103"/>
        <v/>
      </c>
      <c r="U174" s="49" t="str">
        <f t="shared" ca="1" si="104"/>
        <v/>
      </c>
      <c r="V174" s="49" t="str">
        <f t="shared" si="105"/>
        <v/>
      </c>
      <c r="W174" s="47" t="str">
        <f t="shared" ca="1" si="106"/>
        <v/>
      </c>
      <c r="X174" s="56">
        <f t="shared" si="107"/>
        <v>-1</v>
      </c>
      <c r="Y174" s="57" t="str">
        <f t="shared" si="108"/>
        <v/>
      </c>
      <c r="Z174" s="59" t="str">
        <f t="shared" si="109"/>
        <v/>
      </c>
      <c r="AA174" s="59" t="str">
        <f t="shared" si="110"/>
        <v/>
      </c>
      <c r="AB174" s="58" t="str">
        <f t="shared" si="111"/>
        <v/>
      </c>
      <c r="AC174" s="59" t="str">
        <f t="shared" si="112"/>
        <v/>
      </c>
      <c r="AD174" s="59" t="str">
        <f t="shared" si="113"/>
        <v/>
      </c>
    </row>
    <row r="175" spans="3:30" x14ac:dyDescent="0.25">
      <c r="C175" s="4" cm="1">
        <f t="array" ref="C175">IF(C174=-1,-1, IF(C174&lt;income_max_row, C174+1, IF(C174=income_max_row, income_total_row, IF(C174=income_total_row, "/1", IF(C174="/1", expenses_header_row, IF(C174&lt;expenses_max_row, C174+1, IF(C174=expenses_max_row, expenses_total_row, IF(C174=expenses_total_row, "/2", IF(C174="/2", savings_header_row, IF(C174&lt;savings_max_row, C174+1, IF(C174=savings_max_row, savings_total_row, -1)))))))))))</f>
        <v>-1</v>
      </c>
      <c r="D175" s="5">
        <f t="shared" si="95"/>
        <v>-1</v>
      </c>
      <c r="E175" s="4" cm="1">
        <f t="array" ref="E175">1*OR(row_id=income_header_row, row_id=expenses_header_row, row_id=savings_header_row)</f>
        <v>0</v>
      </c>
      <c r="F175">
        <f t="shared" si="96"/>
        <v>0</v>
      </c>
      <c r="G175" cm="1">
        <f t="array" ref="G175">1*OR(row_id=income_total_row, row_id=expenses_total_row, row_id=savings_total_row)</f>
        <v>0</v>
      </c>
      <c r="H175" s="5">
        <f t="shared" si="97"/>
        <v>1</v>
      </c>
      <c r="I175" s="4" t="str" cm="1">
        <f t="array" ref="I175">IFERROR(INDEX('Budget Planning'!$C:$C, header_row_id), "")</f>
        <v/>
      </c>
      <c r="J175" t="str" cm="1">
        <f t="array" ref="J175">IFERROR(INDEX('Budget Planning'!$C:$C, row_id), "")</f>
        <v/>
      </c>
      <c r="K175" s="52" t="str" cm="1">
        <f t="array" ref="K17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5" s="53" t="str" cm="1">
        <f t="array" ref="L175">IF(OR(is_header, is_empty), "", INDEX('Budget Planning'!$E:$EM, row_id, MATCH(IF(selected_period="Total Year", selected_year, DATE(selected_year, selected_period, 1)), 'Budget Planning'!$E$9:$EM$9, 0)))</f>
        <v/>
      </c>
      <c r="M175" s="50" t="str" cm="1">
        <f t="array" ref="M175">IF(is_category, IF(header_row_id=income_header_row, MATCH(income_min_row, $C:$C, 0), IF(header_row_id=expenses_header_row, MATCH(expenses_min_row, $C:$C, 0), IF(header_row_id=savings_header_row, MATCH(savings_min_row, $C:$C, 0), ""))), "")</f>
        <v/>
      </c>
      <c r="N175" s="51" t="str" cm="1">
        <f t="array" ref="N175">IF(is_category, IF(header_row_id=income_header_row, MATCH(income_max_row, $C:$C, 0), IF(header_row_id=expenses_header_row, MATCH(expenses_max_row, $C:$C, 0), IF(header_row_id=savings_header_row, MATCH(savings_max_row, $C:$C, 0), ""))), "")</f>
        <v/>
      </c>
      <c r="O175" s="50" t="str">
        <f t="shared" si="98"/>
        <v/>
      </c>
      <c r="P175" s="49" t="str">
        <f t="shared" ca="1" si="99"/>
        <v/>
      </c>
      <c r="Q175" s="49" t="str">
        <f t="shared" si="100"/>
        <v/>
      </c>
      <c r="R175" s="51" t="str">
        <f t="shared" ca="1" si="101"/>
        <v/>
      </c>
      <c r="S175" s="50" t="str">
        <f t="shared" si="102"/>
        <v/>
      </c>
      <c r="T175" s="49" t="str">
        <f t="shared" si="103"/>
        <v/>
      </c>
      <c r="U175" s="49" t="str">
        <f t="shared" ca="1" si="104"/>
        <v/>
      </c>
      <c r="V175" s="49" t="str">
        <f t="shared" si="105"/>
        <v/>
      </c>
      <c r="W175" s="47" t="str">
        <f t="shared" ca="1" si="106"/>
        <v/>
      </c>
      <c r="X175" s="56">
        <f t="shared" si="107"/>
        <v>-1</v>
      </c>
      <c r="Y175" s="57" t="str">
        <f t="shared" si="108"/>
        <v/>
      </c>
      <c r="Z175" s="59" t="str">
        <f t="shared" si="109"/>
        <v/>
      </c>
      <c r="AA175" s="59" t="str">
        <f t="shared" si="110"/>
        <v/>
      </c>
      <c r="AB175" s="58" t="str">
        <f t="shared" si="111"/>
        <v/>
      </c>
      <c r="AC175" s="59" t="str">
        <f t="shared" si="112"/>
        <v/>
      </c>
      <c r="AD175" s="59" t="str">
        <f t="shared" si="113"/>
        <v/>
      </c>
    </row>
    <row r="176" spans="3:30" x14ac:dyDescent="0.25">
      <c r="C176" s="4" cm="1">
        <f t="array" ref="C176">IF(C175=-1,-1, IF(C175&lt;income_max_row, C175+1, IF(C175=income_max_row, income_total_row, IF(C175=income_total_row, "/1", IF(C175="/1", expenses_header_row, IF(C175&lt;expenses_max_row, C175+1, IF(C175=expenses_max_row, expenses_total_row, IF(C175=expenses_total_row, "/2", IF(C175="/2", savings_header_row, IF(C175&lt;savings_max_row, C175+1, IF(C175=savings_max_row, savings_total_row, -1)))))))))))</f>
        <v>-1</v>
      </c>
      <c r="D176" s="5">
        <f t="shared" si="95"/>
        <v>-1</v>
      </c>
      <c r="E176" s="4" cm="1">
        <f t="array" ref="E176">1*OR(row_id=income_header_row, row_id=expenses_header_row, row_id=savings_header_row)</f>
        <v>0</v>
      </c>
      <c r="F176">
        <f t="shared" si="96"/>
        <v>0</v>
      </c>
      <c r="G176" cm="1">
        <f t="array" ref="G176">1*OR(row_id=income_total_row, row_id=expenses_total_row, row_id=savings_total_row)</f>
        <v>0</v>
      </c>
      <c r="H176" s="5">
        <f t="shared" si="97"/>
        <v>1</v>
      </c>
      <c r="I176" s="4" t="str" cm="1">
        <f t="array" ref="I176">IFERROR(INDEX('Budget Planning'!$C:$C, header_row_id), "")</f>
        <v/>
      </c>
      <c r="J176" t="str" cm="1">
        <f t="array" ref="J176">IFERROR(INDEX('Budget Planning'!$C:$C, row_id), "")</f>
        <v/>
      </c>
      <c r="K176" s="52" t="str" cm="1">
        <f t="array" ref="K17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6" s="53" t="str" cm="1">
        <f t="array" ref="L176">IF(OR(is_header, is_empty), "", INDEX('Budget Planning'!$E:$EM, row_id, MATCH(IF(selected_period="Total Year", selected_year, DATE(selected_year, selected_period, 1)), 'Budget Planning'!$E$9:$EM$9, 0)))</f>
        <v/>
      </c>
      <c r="M176" s="50" t="str" cm="1">
        <f t="array" ref="M176">IF(is_category, IF(header_row_id=income_header_row, MATCH(income_min_row, $C:$C, 0), IF(header_row_id=expenses_header_row, MATCH(expenses_min_row, $C:$C, 0), IF(header_row_id=savings_header_row, MATCH(savings_min_row, $C:$C, 0), ""))), "")</f>
        <v/>
      </c>
      <c r="N176" s="51" t="str" cm="1">
        <f t="array" ref="N176">IF(is_category, IF(header_row_id=income_header_row, MATCH(income_max_row, $C:$C, 0), IF(header_row_id=expenses_header_row, MATCH(expenses_max_row, $C:$C, 0), IF(header_row_id=savings_header_row, MATCH(savings_max_row, $C:$C, 0), ""))), "")</f>
        <v/>
      </c>
      <c r="O176" s="50" t="str">
        <f t="shared" si="98"/>
        <v/>
      </c>
      <c r="P176" s="49" t="str">
        <f t="shared" ca="1" si="99"/>
        <v/>
      </c>
      <c r="Q176" s="49" t="str">
        <f t="shared" si="100"/>
        <v/>
      </c>
      <c r="R176" s="51" t="str">
        <f t="shared" ca="1" si="101"/>
        <v/>
      </c>
      <c r="S176" s="50" t="str">
        <f t="shared" si="102"/>
        <v/>
      </c>
      <c r="T176" s="49" t="str">
        <f t="shared" si="103"/>
        <v/>
      </c>
      <c r="U176" s="49" t="str">
        <f t="shared" ca="1" si="104"/>
        <v/>
      </c>
      <c r="V176" s="49" t="str">
        <f t="shared" si="105"/>
        <v/>
      </c>
      <c r="W176" s="47" t="str">
        <f t="shared" ca="1" si="106"/>
        <v/>
      </c>
      <c r="X176" s="56">
        <f t="shared" si="107"/>
        <v>-1</v>
      </c>
      <c r="Y176" s="57" t="str">
        <f t="shared" si="108"/>
        <v/>
      </c>
      <c r="Z176" s="59" t="str">
        <f t="shared" si="109"/>
        <v/>
      </c>
      <c r="AA176" s="59" t="str">
        <f t="shared" si="110"/>
        <v/>
      </c>
      <c r="AB176" s="58" t="str">
        <f t="shared" si="111"/>
        <v/>
      </c>
      <c r="AC176" s="59" t="str">
        <f t="shared" si="112"/>
        <v/>
      </c>
      <c r="AD176" s="59" t="str">
        <f t="shared" si="113"/>
        <v/>
      </c>
    </row>
    <row r="177" spans="3:30" x14ac:dyDescent="0.25">
      <c r="C177" s="4" cm="1">
        <f t="array" ref="C177">IF(C176=-1,-1, IF(C176&lt;income_max_row, C176+1, IF(C176=income_max_row, income_total_row, IF(C176=income_total_row, "/1", IF(C176="/1", expenses_header_row, IF(C176&lt;expenses_max_row, C176+1, IF(C176=expenses_max_row, expenses_total_row, IF(C176=expenses_total_row, "/2", IF(C176="/2", savings_header_row, IF(C176&lt;savings_max_row, C176+1, IF(C176=savings_max_row, savings_total_row, -1)))))))))))</f>
        <v>-1</v>
      </c>
      <c r="D177" s="5">
        <f t="shared" si="95"/>
        <v>-1</v>
      </c>
      <c r="E177" s="4" cm="1">
        <f t="array" ref="E177">1*OR(row_id=income_header_row, row_id=expenses_header_row, row_id=savings_header_row)</f>
        <v>0</v>
      </c>
      <c r="F177">
        <f t="shared" si="96"/>
        <v>0</v>
      </c>
      <c r="G177" cm="1">
        <f t="array" ref="G177">1*OR(row_id=income_total_row, row_id=expenses_total_row, row_id=savings_total_row)</f>
        <v>0</v>
      </c>
      <c r="H177" s="5">
        <f t="shared" si="97"/>
        <v>1</v>
      </c>
      <c r="I177" s="4" t="str" cm="1">
        <f t="array" ref="I177">IFERROR(INDEX('Budget Planning'!$C:$C, header_row_id), "")</f>
        <v/>
      </c>
      <c r="J177" t="str" cm="1">
        <f t="array" ref="J177">IFERROR(INDEX('Budget Planning'!$C:$C, row_id), "")</f>
        <v/>
      </c>
      <c r="K177" s="52" t="str" cm="1">
        <f t="array" ref="K17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7" s="53" t="str" cm="1">
        <f t="array" ref="L177">IF(OR(is_header, is_empty), "", INDEX('Budget Planning'!$E:$EM, row_id, MATCH(IF(selected_period="Total Year", selected_year, DATE(selected_year, selected_period, 1)), 'Budget Planning'!$E$9:$EM$9, 0)))</f>
        <v/>
      </c>
      <c r="M177" s="50" t="str" cm="1">
        <f t="array" ref="M177">IF(is_category, IF(header_row_id=income_header_row, MATCH(income_min_row, $C:$C, 0), IF(header_row_id=expenses_header_row, MATCH(expenses_min_row, $C:$C, 0), IF(header_row_id=savings_header_row, MATCH(savings_min_row, $C:$C, 0), ""))), "")</f>
        <v/>
      </c>
      <c r="N177" s="51" t="str" cm="1">
        <f t="array" ref="N177">IF(is_category, IF(header_row_id=income_header_row, MATCH(income_max_row, $C:$C, 0), IF(header_row_id=expenses_header_row, MATCH(expenses_max_row, $C:$C, 0), IF(header_row_id=savings_header_row, MATCH(savings_max_row, $C:$C, 0), ""))), "")</f>
        <v/>
      </c>
      <c r="O177" s="50" t="str">
        <f t="shared" si="98"/>
        <v/>
      </c>
      <c r="P177" s="49" t="str">
        <f t="shared" ca="1" si="99"/>
        <v/>
      </c>
      <c r="Q177" s="49" t="str">
        <f t="shared" si="100"/>
        <v/>
      </c>
      <c r="R177" s="51" t="str">
        <f t="shared" ca="1" si="101"/>
        <v/>
      </c>
      <c r="S177" s="50" t="str">
        <f t="shared" si="102"/>
        <v/>
      </c>
      <c r="T177" s="49" t="str">
        <f t="shared" si="103"/>
        <v/>
      </c>
      <c r="U177" s="49" t="str">
        <f t="shared" ca="1" si="104"/>
        <v/>
      </c>
      <c r="V177" s="49" t="str">
        <f t="shared" si="105"/>
        <v/>
      </c>
      <c r="W177" s="47" t="str">
        <f t="shared" ca="1" si="106"/>
        <v/>
      </c>
      <c r="X177" s="56">
        <f t="shared" si="107"/>
        <v>-1</v>
      </c>
      <c r="Y177" s="57" t="str">
        <f t="shared" si="108"/>
        <v/>
      </c>
      <c r="Z177" s="59" t="str">
        <f t="shared" si="109"/>
        <v/>
      </c>
      <c r="AA177" s="59" t="str">
        <f t="shared" si="110"/>
        <v/>
      </c>
      <c r="AB177" s="58" t="str">
        <f t="shared" si="111"/>
        <v/>
      </c>
      <c r="AC177" s="59" t="str">
        <f t="shared" si="112"/>
        <v/>
      </c>
      <c r="AD177" s="59" t="str">
        <f t="shared" si="113"/>
        <v/>
      </c>
    </row>
    <row r="178" spans="3:30" x14ac:dyDescent="0.25">
      <c r="C178" s="4" cm="1">
        <f t="array" ref="C178">IF(C177=-1,-1, IF(C177&lt;income_max_row, C177+1, IF(C177=income_max_row, income_total_row, IF(C177=income_total_row, "/1", IF(C177="/1", expenses_header_row, IF(C177&lt;expenses_max_row, C177+1, IF(C177=expenses_max_row, expenses_total_row, IF(C177=expenses_total_row, "/2", IF(C177="/2", savings_header_row, IF(C177&lt;savings_max_row, C177+1, IF(C177=savings_max_row, savings_total_row, -1)))))))))))</f>
        <v>-1</v>
      </c>
      <c r="D178" s="5">
        <f t="shared" si="95"/>
        <v>-1</v>
      </c>
      <c r="E178" s="4" cm="1">
        <f t="array" ref="E178">1*OR(row_id=income_header_row, row_id=expenses_header_row, row_id=savings_header_row)</f>
        <v>0</v>
      </c>
      <c r="F178">
        <f t="shared" si="96"/>
        <v>0</v>
      </c>
      <c r="G178" cm="1">
        <f t="array" ref="G178">1*OR(row_id=income_total_row, row_id=expenses_total_row, row_id=savings_total_row)</f>
        <v>0</v>
      </c>
      <c r="H178" s="5">
        <f t="shared" si="97"/>
        <v>1</v>
      </c>
      <c r="I178" s="4" t="str" cm="1">
        <f t="array" ref="I178">IFERROR(INDEX('Budget Planning'!$C:$C, header_row_id), "")</f>
        <v/>
      </c>
      <c r="J178" t="str" cm="1">
        <f t="array" ref="J178">IFERROR(INDEX('Budget Planning'!$C:$C, row_id), "")</f>
        <v/>
      </c>
      <c r="K178" s="52" t="str" cm="1">
        <f t="array" ref="K17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8" s="53" t="str" cm="1">
        <f t="array" ref="L178">IF(OR(is_header, is_empty), "", INDEX('Budget Planning'!$E:$EM, row_id, MATCH(IF(selected_period="Total Year", selected_year, DATE(selected_year, selected_period, 1)), 'Budget Planning'!$E$9:$EM$9, 0)))</f>
        <v/>
      </c>
      <c r="M178" s="50" t="str" cm="1">
        <f t="array" ref="M178">IF(is_category, IF(header_row_id=income_header_row, MATCH(income_min_row, $C:$C, 0), IF(header_row_id=expenses_header_row, MATCH(expenses_min_row, $C:$C, 0), IF(header_row_id=savings_header_row, MATCH(savings_min_row, $C:$C, 0), ""))), "")</f>
        <v/>
      </c>
      <c r="N178" s="51" t="str" cm="1">
        <f t="array" ref="N178">IF(is_category, IF(header_row_id=income_header_row, MATCH(income_max_row, $C:$C, 0), IF(header_row_id=expenses_header_row, MATCH(expenses_max_row, $C:$C, 0), IF(header_row_id=savings_header_row, MATCH(savings_max_row, $C:$C, 0), ""))), "")</f>
        <v/>
      </c>
      <c r="O178" s="50" t="str">
        <f t="shared" si="98"/>
        <v/>
      </c>
      <c r="P178" s="49" t="str">
        <f t="shared" ca="1" si="99"/>
        <v/>
      </c>
      <c r="Q178" s="49" t="str">
        <f t="shared" si="100"/>
        <v/>
      </c>
      <c r="R178" s="51" t="str">
        <f t="shared" ca="1" si="101"/>
        <v/>
      </c>
      <c r="S178" s="50" t="str">
        <f t="shared" si="102"/>
        <v/>
      </c>
      <c r="T178" s="49" t="str">
        <f t="shared" si="103"/>
        <v/>
      </c>
      <c r="U178" s="49" t="str">
        <f t="shared" ca="1" si="104"/>
        <v/>
      </c>
      <c r="V178" s="49" t="str">
        <f t="shared" si="105"/>
        <v/>
      </c>
      <c r="W178" s="47" t="str">
        <f t="shared" ca="1" si="106"/>
        <v/>
      </c>
      <c r="X178" s="56">
        <f t="shared" si="107"/>
        <v>-1</v>
      </c>
      <c r="Y178" s="57" t="str">
        <f t="shared" si="108"/>
        <v/>
      </c>
      <c r="Z178" s="59" t="str">
        <f t="shared" si="109"/>
        <v/>
      </c>
      <c r="AA178" s="59" t="str">
        <f t="shared" si="110"/>
        <v/>
      </c>
      <c r="AB178" s="58" t="str">
        <f t="shared" si="111"/>
        <v/>
      </c>
      <c r="AC178" s="59" t="str">
        <f t="shared" si="112"/>
        <v/>
      </c>
      <c r="AD178" s="59" t="str">
        <f t="shared" si="113"/>
        <v/>
      </c>
    </row>
    <row r="179" spans="3:30" x14ac:dyDescent="0.25">
      <c r="C179" s="4" cm="1">
        <f t="array" ref="C179">IF(C178=-1,-1, IF(C178&lt;income_max_row, C178+1, IF(C178=income_max_row, income_total_row, IF(C178=income_total_row, "/1", IF(C178="/1", expenses_header_row, IF(C178&lt;expenses_max_row, C178+1, IF(C178=expenses_max_row, expenses_total_row, IF(C178=expenses_total_row, "/2", IF(C178="/2", savings_header_row, IF(C178&lt;savings_max_row, C178+1, IF(C178=savings_max_row, savings_total_row, -1)))))))))))</f>
        <v>-1</v>
      </c>
      <c r="D179" s="5">
        <f t="shared" si="95"/>
        <v>-1</v>
      </c>
      <c r="E179" s="4" cm="1">
        <f t="array" ref="E179">1*OR(row_id=income_header_row, row_id=expenses_header_row, row_id=savings_header_row)</f>
        <v>0</v>
      </c>
      <c r="F179">
        <f t="shared" si="96"/>
        <v>0</v>
      </c>
      <c r="G179" cm="1">
        <f t="array" ref="G179">1*OR(row_id=income_total_row, row_id=expenses_total_row, row_id=savings_total_row)</f>
        <v>0</v>
      </c>
      <c r="H179" s="5">
        <f t="shared" si="97"/>
        <v>1</v>
      </c>
      <c r="I179" s="4" t="str" cm="1">
        <f t="array" ref="I179">IFERROR(INDEX('Budget Planning'!$C:$C, header_row_id), "")</f>
        <v/>
      </c>
      <c r="J179" t="str" cm="1">
        <f t="array" ref="J179">IFERROR(INDEX('Budget Planning'!$C:$C, row_id), "")</f>
        <v/>
      </c>
      <c r="K179" s="52" t="str" cm="1">
        <f t="array" ref="K17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9" s="53" t="str" cm="1">
        <f t="array" ref="L179">IF(OR(is_header, is_empty), "", INDEX('Budget Planning'!$E:$EM, row_id, MATCH(IF(selected_period="Total Year", selected_year, DATE(selected_year, selected_period, 1)), 'Budget Planning'!$E$9:$EM$9, 0)))</f>
        <v/>
      </c>
      <c r="M179" s="50" t="str" cm="1">
        <f t="array" ref="M179">IF(is_category, IF(header_row_id=income_header_row, MATCH(income_min_row, $C:$C, 0), IF(header_row_id=expenses_header_row, MATCH(expenses_min_row, $C:$C, 0), IF(header_row_id=savings_header_row, MATCH(savings_min_row, $C:$C, 0), ""))), "")</f>
        <v/>
      </c>
      <c r="N179" s="51" t="str" cm="1">
        <f t="array" ref="N179">IF(is_category, IF(header_row_id=income_header_row, MATCH(income_max_row, $C:$C, 0), IF(header_row_id=expenses_header_row, MATCH(expenses_max_row, $C:$C, 0), IF(header_row_id=savings_header_row, MATCH(savings_max_row, $C:$C, 0), ""))), "")</f>
        <v/>
      </c>
      <c r="O179" s="50" t="str">
        <f t="shared" si="98"/>
        <v/>
      </c>
      <c r="P179" s="49" t="str">
        <f t="shared" ca="1" si="99"/>
        <v/>
      </c>
      <c r="Q179" s="49" t="str">
        <f t="shared" si="100"/>
        <v/>
      </c>
      <c r="R179" s="51" t="str">
        <f t="shared" ca="1" si="101"/>
        <v/>
      </c>
      <c r="S179" s="50" t="str">
        <f t="shared" si="102"/>
        <v/>
      </c>
      <c r="T179" s="49" t="str">
        <f t="shared" si="103"/>
        <v/>
      </c>
      <c r="U179" s="49" t="str">
        <f t="shared" ca="1" si="104"/>
        <v/>
      </c>
      <c r="V179" s="49" t="str">
        <f t="shared" si="105"/>
        <v/>
      </c>
      <c r="W179" s="47" t="str">
        <f t="shared" ca="1" si="106"/>
        <v/>
      </c>
      <c r="X179" s="56">
        <f t="shared" si="107"/>
        <v>-1</v>
      </c>
      <c r="Y179" s="57" t="str">
        <f t="shared" si="108"/>
        <v/>
      </c>
      <c r="Z179" s="59" t="str">
        <f t="shared" si="109"/>
        <v/>
      </c>
      <c r="AA179" s="59" t="str">
        <f t="shared" si="110"/>
        <v/>
      </c>
      <c r="AB179" s="58" t="str">
        <f t="shared" si="111"/>
        <v/>
      </c>
      <c r="AC179" s="59" t="str">
        <f t="shared" si="112"/>
        <v/>
      </c>
      <c r="AD179" s="59" t="str">
        <f t="shared" si="113"/>
        <v/>
      </c>
    </row>
    <row r="180" spans="3:30" x14ac:dyDescent="0.25">
      <c r="C180" s="4" cm="1">
        <f t="array" ref="C180">IF(C179=-1,-1, IF(C179&lt;income_max_row, C179+1, IF(C179=income_max_row, income_total_row, IF(C179=income_total_row, "/1", IF(C179="/1", expenses_header_row, IF(C179&lt;expenses_max_row, C179+1, IF(C179=expenses_max_row, expenses_total_row, IF(C179=expenses_total_row, "/2", IF(C179="/2", savings_header_row, IF(C179&lt;savings_max_row, C179+1, IF(C179=savings_max_row, savings_total_row, -1)))))))))))</f>
        <v>-1</v>
      </c>
      <c r="D180" s="5">
        <f t="shared" si="95"/>
        <v>-1</v>
      </c>
      <c r="E180" s="4" cm="1">
        <f t="array" ref="E180">1*OR(row_id=income_header_row, row_id=expenses_header_row, row_id=savings_header_row)</f>
        <v>0</v>
      </c>
      <c r="F180">
        <f t="shared" si="96"/>
        <v>0</v>
      </c>
      <c r="G180" cm="1">
        <f t="array" ref="G180">1*OR(row_id=income_total_row, row_id=expenses_total_row, row_id=savings_total_row)</f>
        <v>0</v>
      </c>
      <c r="H180" s="5">
        <f t="shared" si="97"/>
        <v>1</v>
      </c>
      <c r="I180" s="4" t="str" cm="1">
        <f t="array" ref="I180">IFERROR(INDEX('Budget Planning'!$C:$C, header_row_id), "")</f>
        <v/>
      </c>
      <c r="J180" t="str" cm="1">
        <f t="array" ref="J180">IFERROR(INDEX('Budget Planning'!$C:$C, row_id), "")</f>
        <v/>
      </c>
      <c r="K180" s="52" t="str" cm="1">
        <f t="array" ref="K18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0" s="53" t="str" cm="1">
        <f t="array" ref="L180">IF(OR(is_header, is_empty), "", INDEX('Budget Planning'!$E:$EM, row_id, MATCH(IF(selected_period="Total Year", selected_year, DATE(selected_year, selected_period, 1)), 'Budget Planning'!$E$9:$EM$9, 0)))</f>
        <v/>
      </c>
      <c r="M180" s="50" t="str" cm="1">
        <f t="array" ref="M180">IF(is_category, IF(header_row_id=income_header_row, MATCH(income_min_row, $C:$C, 0), IF(header_row_id=expenses_header_row, MATCH(expenses_min_row, $C:$C, 0), IF(header_row_id=savings_header_row, MATCH(savings_min_row, $C:$C, 0), ""))), "")</f>
        <v/>
      </c>
      <c r="N180" s="51" t="str" cm="1">
        <f t="array" ref="N180">IF(is_category, IF(header_row_id=income_header_row, MATCH(income_max_row, $C:$C, 0), IF(header_row_id=expenses_header_row, MATCH(expenses_max_row, $C:$C, 0), IF(header_row_id=savings_header_row, MATCH(savings_max_row, $C:$C, 0), ""))), "")</f>
        <v/>
      </c>
      <c r="O180" s="50" t="str">
        <f t="shared" si="98"/>
        <v/>
      </c>
      <c r="P180" s="49" t="str">
        <f t="shared" ca="1" si="99"/>
        <v/>
      </c>
      <c r="Q180" s="49" t="str">
        <f t="shared" si="100"/>
        <v/>
      </c>
      <c r="R180" s="51" t="str">
        <f t="shared" ca="1" si="101"/>
        <v/>
      </c>
      <c r="S180" s="50" t="str">
        <f t="shared" si="102"/>
        <v/>
      </c>
      <c r="T180" s="49" t="str">
        <f t="shared" si="103"/>
        <v/>
      </c>
      <c r="U180" s="49" t="str">
        <f t="shared" ca="1" si="104"/>
        <v/>
      </c>
      <c r="V180" s="49" t="str">
        <f t="shared" si="105"/>
        <v/>
      </c>
      <c r="W180" s="47" t="str">
        <f t="shared" ca="1" si="106"/>
        <v/>
      </c>
      <c r="X180" s="56">
        <f t="shared" si="107"/>
        <v>-1</v>
      </c>
      <c r="Y180" s="57" t="str">
        <f t="shared" si="108"/>
        <v/>
      </c>
      <c r="Z180" s="59" t="str">
        <f t="shared" si="109"/>
        <v/>
      </c>
      <c r="AA180" s="59" t="str">
        <f t="shared" si="110"/>
        <v/>
      </c>
      <c r="AB180" s="58" t="str">
        <f t="shared" si="111"/>
        <v/>
      </c>
      <c r="AC180" s="59" t="str">
        <f t="shared" si="112"/>
        <v/>
      </c>
      <c r="AD180" s="59" t="str">
        <f t="shared" si="113"/>
        <v/>
      </c>
    </row>
    <row r="181" spans="3:30" x14ac:dyDescent="0.25">
      <c r="C181" s="4" cm="1">
        <f t="array" ref="C181">IF(C180=-1,-1, IF(C180&lt;income_max_row, C180+1, IF(C180=income_max_row, income_total_row, IF(C180=income_total_row, "/1", IF(C180="/1", expenses_header_row, IF(C180&lt;expenses_max_row, C180+1, IF(C180=expenses_max_row, expenses_total_row, IF(C180=expenses_total_row, "/2", IF(C180="/2", savings_header_row, IF(C180&lt;savings_max_row, C180+1, IF(C180=savings_max_row, savings_total_row, -1)))))))))))</f>
        <v>-1</v>
      </c>
      <c r="D181" s="5">
        <f t="shared" si="95"/>
        <v>-1</v>
      </c>
      <c r="E181" s="4" cm="1">
        <f t="array" ref="E181">1*OR(row_id=income_header_row, row_id=expenses_header_row, row_id=savings_header_row)</f>
        <v>0</v>
      </c>
      <c r="F181">
        <f t="shared" si="96"/>
        <v>0</v>
      </c>
      <c r="G181" cm="1">
        <f t="array" ref="G181">1*OR(row_id=income_total_row, row_id=expenses_total_row, row_id=savings_total_row)</f>
        <v>0</v>
      </c>
      <c r="H181" s="5">
        <f t="shared" si="97"/>
        <v>1</v>
      </c>
      <c r="I181" s="4" t="str" cm="1">
        <f t="array" ref="I181">IFERROR(INDEX('Budget Planning'!$C:$C, header_row_id), "")</f>
        <v/>
      </c>
      <c r="J181" t="str" cm="1">
        <f t="array" ref="J181">IFERROR(INDEX('Budget Planning'!$C:$C, row_id), "")</f>
        <v/>
      </c>
      <c r="K181" s="52" t="str" cm="1">
        <f t="array" ref="K18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1" s="53" t="str" cm="1">
        <f t="array" ref="L181">IF(OR(is_header, is_empty), "", INDEX('Budget Planning'!$E:$EM, row_id, MATCH(IF(selected_period="Total Year", selected_year, DATE(selected_year, selected_period, 1)), 'Budget Planning'!$E$9:$EM$9, 0)))</f>
        <v/>
      </c>
      <c r="M181" s="50" t="str" cm="1">
        <f t="array" ref="M181">IF(is_category, IF(header_row_id=income_header_row, MATCH(income_min_row, $C:$C, 0), IF(header_row_id=expenses_header_row, MATCH(expenses_min_row, $C:$C, 0), IF(header_row_id=savings_header_row, MATCH(savings_min_row, $C:$C, 0), ""))), "")</f>
        <v/>
      </c>
      <c r="N181" s="51" t="str" cm="1">
        <f t="array" ref="N181">IF(is_category, IF(header_row_id=income_header_row, MATCH(income_max_row, $C:$C, 0), IF(header_row_id=expenses_header_row, MATCH(expenses_max_row, $C:$C, 0), IF(header_row_id=savings_header_row, MATCH(savings_max_row, $C:$C, 0), ""))), "")</f>
        <v/>
      </c>
      <c r="O181" s="50" t="str">
        <f t="shared" si="98"/>
        <v/>
      </c>
      <c r="P181" s="49" t="str">
        <f t="shared" ca="1" si="99"/>
        <v/>
      </c>
      <c r="Q181" s="49" t="str">
        <f t="shared" si="100"/>
        <v/>
      </c>
      <c r="R181" s="51" t="str">
        <f t="shared" ca="1" si="101"/>
        <v/>
      </c>
      <c r="S181" s="50" t="str">
        <f t="shared" si="102"/>
        <v/>
      </c>
      <c r="T181" s="49" t="str">
        <f t="shared" si="103"/>
        <v/>
      </c>
      <c r="U181" s="49" t="str">
        <f t="shared" ca="1" si="104"/>
        <v/>
      </c>
      <c r="V181" s="49" t="str">
        <f t="shared" si="105"/>
        <v/>
      </c>
      <c r="W181" s="47" t="str">
        <f t="shared" ca="1" si="106"/>
        <v/>
      </c>
      <c r="X181" s="56">
        <f t="shared" si="107"/>
        <v>-1</v>
      </c>
      <c r="Y181" s="57" t="str">
        <f t="shared" si="108"/>
        <v/>
      </c>
      <c r="Z181" s="59" t="str">
        <f t="shared" si="109"/>
        <v/>
      </c>
      <c r="AA181" s="59" t="str">
        <f t="shared" si="110"/>
        <v/>
      </c>
      <c r="AB181" s="58" t="str">
        <f t="shared" si="111"/>
        <v/>
      </c>
      <c r="AC181" s="59" t="str">
        <f t="shared" si="112"/>
        <v/>
      </c>
      <c r="AD181" s="59" t="str">
        <f t="shared" si="113"/>
        <v/>
      </c>
    </row>
    <row r="182" spans="3:30" x14ac:dyDescent="0.25">
      <c r="C182" s="4" cm="1">
        <f t="array" ref="C182">IF(C181=-1,-1, IF(C181&lt;income_max_row, C181+1, IF(C181=income_max_row, income_total_row, IF(C181=income_total_row, "/1", IF(C181="/1", expenses_header_row, IF(C181&lt;expenses_max_row, C181+1, IF(C181=expenses_max_row, expenses_total_row, IF(C181=expenses_total_row, "/2", IF(C181="/2", savings_header_row, IF(C181&lt;savings_max_row, C181+1, IF(C181=savings_max_row, savings_total_row, -1)))))))))))</f>
        <v>-1</v>
      </c>
      <c r="D182" s="5">
        <f t="shared" si="95"/>
        <v>-1</v>
      </c>
      <c r="E182" s="4" cm="1">
        <f t="array" ref="E182">1*OR(row_id=income_header_row, row_id=expenses_header_row, row_id=savings_header_row)</f>
        <v>0</v>
      </c>
      <c r="F182">
        <f t="shared" si="96"/>
        <v>0</v>
      </c>
      <c r="G182" cm="1">
        <f t="array" ref="G182">1*OR(row_id=income_total_row, row_id=expenses_total_row, row_id=savings_total_row)</f>
        <v>0</v>
      </c>
      <c r="H182" s="5">
        <f t="shared" si="97"/>
        <v>1</v>
      </c>
      <c r="I182" s="4" t="str" cm="1">
        <f t="array" ref="I182">IFERROR(INDEX('Budget Planning'!$C:$C, header_row_id), "")</f>
        <v/>
      </c>
      <c r="J182" t="str" cm="1">
        <f t="array" ref="J182">IFERROR(INDEX('Budget Planning'!$C:$C, row_id), "")</f>
        <v/>
      </c>
      <c r="K182" s="52" t="str" cm="1">
        <f t="array" ref="K18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2" s="53" t="str" cm="1">
        <f t="array" ref="L182">IF(OR(is_header, is_empty), "", INDEX('Budget Planning'!$E:$EM, row_id, MATCH(IF(selected_period="Total Year", selected_year, DATE(selected_year, selected_period, 1)), 'Budget Planning'!$E$9:$EM$9, 0)))</f>
        <v/>
      </c>
      <c r="M182" s="50" t="str" cm="1">
        <f t="array" ref="M182">IF(is_category, IF(header_row_id=income_header_row, MATCH(income_min_row, $C:$C, 0), IF(header_row_id=expenses_header_row, MATCH(expenses_min_row, $C:$C, 0), IF(header_row_id=savings_header_row, MATCH(savings_min_row, $C:$C, 0), ""))), "")</f>
        <v/>
      </c>
      <c r="N182" s="51" t="str" cm="1">
        <f t="array" ref="N182">IF(is_category, IF(header_row_id=income_header_row, MATCH(income_max_row, $C:$C, 0), IF(header_row_id=expenses_header_row, MATCH(expenses_max_row, $C:$C, 0), IF(header_row_id=savings_header_row, MATCH(savings_max_row, $C:$C, 0), ""))), "")</f>
        <v/>
      </c>
      <c r="O182" s="50" t="str">
        <f t="shared" si="98"/>
        <v/>
      </c>
      <c r="P182" s="49" t="str">
        <f t="shared" ca="1" si="99"/>
        <v/>
      </c>
      <c r="Q182" s="49" t="str">
        <f t="shared" si="100"/>
        <v/>
      </c>
      <c r="R182" s="51" t="str">
        <f t="shared" ca="1" si="101"/>
        <v/>
      </c>
      <c r="S182" s="50" t="str">
        <f t="shared" si="102"/>
        <v/>
      </c>
      <c r="T182" s="49" t="str">
        <f t="shared" si="103"/>
        <v/>
      </c>
      <c r="U182" s="49" t="str">
        <f t="shared" ca="1" si="104"/>
        <v/>
      </c>
      <c r="V182" s="49" t="str">
        <f t="shared" si="105"/>
        <v/>
      </c>
      <c r="W182" s="47" t="str">
        <f t="shared" ca="1" si="106"/>
        <v/>
      </c>
      <c r="X182" s="56">
        <f t="shared" si="107"/>
        <v>-1</v>
      </c>
      <c r="Y182" s="57" t="str">
        <f t="shared" si="108"/>
        <v/>
      </c>
      <c r="Z182" s="59" t="str">
        <f t="shared" si="109"/>
        <v/>
      </c>
      <c r="AA182" s="59" t="str">
        <f t="shared" si="110"/>
        <v/>
      </c>
      <c r="AB182" s="58" t="str">
        <f t="shared" si="111"/>
        <v/>
      </c>
      <c r="AC182" s="59" t="str">
        <f t="shared" si="112"/>
        <v/>
      </c>
      <c r="AD182" s="59" t="str">
        <f t="shared" si="113"/>
        <v/>
      </c>
    </row>
    <row r="183" spans="3:30" x14ac:dyDescent="0.25">
      <c r="C183" s="4" cm="1">
        <f t="array" ref="C183">IF(C182=-1,-1, IF(C182&lt;income_max_row, C182+1, IF(C182=income_max_row, income_total_row, IF(C182=income_total_row, "/1", IF(C182="/1", expenses_header_row, IF(C182&lt;expenses_max_row, C182+1, IF(C182=expenses_max_row, expenses_total_row, IF(C182=expenses_total_row, "/2", IF(C182="/2", savings_header_row, IF(C182&lt;savings_max_row, C182+1, IF(C182=savings_max_row, savings_total_row, -1)))))))))))</f>
        <v>-1</v>
      </c>
      <c r="D183" s="5">
        <f t="shared" si="95"/>
        <v>-1</v>
      </c>
      <c r="E183" s="4" cm="1">
        <f t="array" ref="E183">1*OR(row_id=income_header_row, row_id=expenses_header_row, row_id=savings_header_row)</f>
        <v>0</v>
      </c>
      <c r="F183">
        <f t="shared" si="96"/>
        <v>0</v>
      </c>
      <c r="G183" cm="1">
        <f t="array" ref="G183">1*OR(row_id=income_total_row, row_id=expenses_total_row, row_id=savings_total_row)</f>
        <v>0</v>
      </c>
      <c r="H183" s="5">
        <f t="shared" si="97"/>
        <v>1</v>
      </c>
      <c r="I183" s="4" t="str" cm="1">
        <f t="array" ref="I183">IFERROR(INDEX('Budget Planning'!$C:$C, header_row_id), "")</f>
        <v/>
      </c>
      <c r="J183" t="str" cm="1">
        <f t="array" ref="J183">IFERROR(INDEX('Budget Planning'!$C:$C, row_id), "")</f>
        <v/>
      </c>
      <c r="K183" s="52" t="str" cm="1">
        <f t="array" ref="K18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3" s="53" t="str" cm="1">
        <f t="array" ref="L183">IF(OR(is_header, is_empty), "", INDEX('Budget Planning'!$E:$EM, row_id, MATCH(IF(selected_period="Total Year", selected_year, DATE(selected_year, selected_period, 1)), 'Budget Planning'!$E$9:$EM$9, 0)))</f>
        <v/>
      </c>
      <c r="M183" s="50" t="str" cm="1">
        <f t="array" ref="M183">IF(is_category, IF(header_row_id=income_header_row, MATCH(income_min_row, $C:$C, 0), IF(header_row_id=expenses_header_row, MATCH(expenses_min_row, $C:$C, 0), IF(header_row_id=savings_header_row, MATCH(savings_min_row, $C:$C, 0), ""))), "")</f>
        <v/>
      </c>
      <c r="N183" s="51" t="str" cm="1">
        <f t="array" ref="N183">IF(is_category, IF(header_row_id=income_header_row, MATCH(income_max_row, $C:$C, 0), IF(header_row_id=expenses_header_row, MATCH(expenses_max_row, $C:$C, 0), IF(header_row_id=savings_header_row, MATCH(savings_max_row, $C:$C, 0), ""))), "")</f>
        <v/>
      </c>
      <c r="O183" s="50" t="str">
        <f t="shared" si="98"/>
        <v/>
      </c>
      <c r="P183" s="49" t="str">
        <f t="shared" ca="1" si="99"/>
        <v/>
      </c>
      <c r="Q183" s="49" t="str">
        <f t="shared" si="100"/>
        <v/>
      </c>
      <c r="R183" s="51" t="str">
        <f t="shared" ca="1" si="101"/>
        <v/>
      </c>
      <c r="S183" s="50" t="str">
        <f t="shared" si="102"/>
        <v/>
      </c>
      <c r="T183" s="49" t="str">
        <f t="shared" si="103"/>
        <v/>
      </c>
      <c r="U183" s="49" t="str">
        <f t="shared" ca="1" si="104"/>
        <v/>
      </c>
      <c r="V183" s="49" t="str">
        <f t="shared" si="105"/>
        <v/>
      </c>
      <c r="W183" s="47" t="str">
        <f t="shared" ca="1" si="106"/>
        <v/>
      </c>
      <c r="X183" s="56">
        <f t="shared" si="107"/>
        <v>-1</v>
      </c>
      <c r="Y183" s="57" t="str">
        <f t="shared" si="108"/>
        <v/>
      </c>
      <c r="Z183" s="59" t="str">
        <f t="shared" si="109"/>
        <v/>
      </c>
      <c r="AA183" s="59" t="str">
        <f t="shared" si="110"/>
        <v/>
      </c>
      <c r="AB183" s="58" t="str">
        <f t="shared" si="111"/>
        <v/>
      </c>
      <c r="AC183" s="59" t="str">
        <f t="shared" si="112"/>
        <v/>
      </c>
      <c r="AD183" s="59" t="str">
        <f t="shared" si="113"/>
        <v/>
      </c>
    </row>
    <row r="184" spans="3:30" x14ac:dyDescent="0.25">
      <c r="C184" s="4" cm="1">
        <f t="array" ref="C184">IF(C183=-1,-1, IF(C183&lt;income_max_row, C183+1, IF(C183=income_max_row, income_total_row, IF(C183=income_total_row, "/1", IF(C183="/1", expenses_header_row, IF(C183&lt;expenses_max_row, C183+1, IF(C183=expenses_max_row, expenses_total_row, IF(C183=expenses_total_row, "/2", IF(C183="/2", savings_header_row, IF(C183&lt;savings_max_row, C183+1, IF(C183=savings_max_row, savings_total_row, -1)))))))))))</f>
        <v>-1</v>
      </c>
      <c r="D184" s="5">
        <f t="shared" si="95"/>
        <v>-1</v>
      </c>
      <c r="E184" s="4" cm="1">
        <f t="array" ref="E184">1*OR(row_id=income_header_row, row_id=expenses_header_row, row_id=savings_header_row)</f>
        <v>0</v>
      </c>
      <c r="F184">
        <f t="shared" si="96"/>
        <v>0</v>
      </c>
      <c r="G184" cm="1">
        <f t="array" ref="G184">1*OR(row_id=income_total_row, row_id=expenses_total_row, row_id=savings_total_row)</f>
        <v>0</v>
      </c>
      <c r="H184" s="5">
        <f t="shared" si="97"/>
        <v>1</v>
      </c>
      <c r="I184" s="4" t="str" cm="1">
        <f t="array" ref="I184">IFERROR(INDEX('Budget Planning'!$C:$C, header_row_id), "")</f>
        <v/>
      </c>
      <c r="J184" t="str" cm="1">
        <f t="array" ref="J184">IFERROR(INDEX('Budget Planning'!$C:$C, row_id), "")</f>
        <v/>
      </c>
      <c r="K184" s="52" t="str" cm="1">
        <f t="array" ref="K18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4" s="53" t="str" cm="1">
        <f t="array" ref="L184">IF(OR(is_header, is_empty), "", INDEX('Budget Planning'!$E:$EM, row_id, MATCH(IF(selected_period="Total Year", selected_year, DATE(selected_year, selected_period, 1)), 'Budget Planning'!$E$9:$EM$9, 0)))</f>
        <v/>
      </c>
      <c r="M184" s="50" t="str" cm="1">
        <f t="array" ref="M184">IF(is_category, IF(header_row_id=income_header_row, MATCH(income_min_row, $C:$C, 0), IF(header_row_id=expenses_header_row, MATCH(expenses_min_row, $C:$C, 0), IF(header_row_id=savings_header_row, MATCH(savings_min_row, $C:$C, 0), ""))), "")</f>
        <v/>
      </c>
      <c r="N184" s="51" t="str" cm="1">
        <f t="array" ref="N184">IF(is_category, IF(header_row_id=income_header_row, MATCH(income_max_row, $C:$C, 0), IF(header_row_id=expenses_header_row, MATCH(expenses_max_row, $C:$C, 0), IF(header_row_id=savings_header_row, MATCH(savings_max_row, $C:$C, 0), ""))), "")</f>
        <v/>
      </c>
      <c r="O184" s="50" t="str">
        <f t="shared" si="98"/>
        <v/>
      </c>
      <c r="P184" s="49" t="str">
        <f t="shared" ca="1" si="99"/>
        <v/>
      </c>
      <c r="Q184" s="49" t="str">
        <f t="shared" si="100"/>
        <v/>
      </c>
      <c r="R184" s="51" t="str">
        <f t="shared" ca="1" si="101"/>
        <v/>
      </c>
      <c r="S184" s="50" t="str">
        <f t="shared" si="102"/>
        <v/>
      </c>
      <c r="T184" s="49" t="str">
        <f t="shared" si="103"/>
        <v/>
      </c>
      <c r="U184" s="49" t="str">
        <f t="shared" ca="1" si="104"/>
        <v/>
      </c>
      <c r="V184" s="49" t="str">
        <f t="shared" si="105"/>
        <v/>
      </c>
      <c r="W184" s="47" t="str">
        <f t="shared" ca="1" si="106"/>
        <v/>
      </c>
      <c r="X184" s="56">
        <f t="shared" si="107"/>
        <v>-1</v>
      </c>
      <c r="Y184" s="57" t="str">
        <f t="shared" si="108"/>
        <v/>
      </c>
      <c r="Z184" s="59" t="str">
        <f t="shared" si="109"/>
        <v/>
      </c>
      <c r="AA184" s="59" t="str">
        <f t="shared" si="110"/>
        <v/>
      </c>
      <c r="AB184" s="58" t="str">
        <f t="shared" si="111"/>
        <v/>
      </c>
      <c r="AC184" s="59" t="str">
        <f t="shared" si="112"/>
        <v/>
      </c>
      <c r="AD184" s="59" t="str">
        <f t="shared" si="113"/>
        <v/>
      </c>
    </row>
    <row r="185" spans="3:30" x14ac:dyDescent="0.25">
      <c r="C185" s="4" cm="1">
        <f t="array" ref="C185">IF(C184=-1,-1, IF(C184&lt;income_max_row, C184+1, IF(C184=income_max_row, income_total_row, IF(C184=income_total_row, "/1", IF(C184="/1", expenses_header_row, IF(C184&lt;expenses_max_row, C184+1, IF(C184=expenses_max_row, expenses_total_row, IF(C184=expenses_total_row, "/2", IF(C184="/2", savings_header_row, IF(C184&lt;savings_max_row, C184+1, IF(C184=savings_max_row, savings_total_row, -1)))))))))))</f>
        <v>-1</v>
      </c>
      <c r="D185" s="5">
        <f t="shared" si="95"/>
        <v>-1</v>
      </c>
      <c r="E185" s="4" cm="1">
        <f t="array" ref="E185">1*OR(row_id=income_header_row, row_id=expenses_header_row, row_id=savings_header_row)</f>
        <v>0</v>
      </c>
      <c r="F185">
        <f t="shared" si="96"/>
        <v>0</v>
      </c>
      <c r="G185" cm="1">
        <f t="array" ref="G185">1*OR(row_id=income_total_row, row_id=expenses_total_row, row_id=savings_total_row)</f>
        <v>0</v>
      </c>
      <c r="H185" s="5">
        <f t="shared" si="97"/>
        <v>1</v>
      </c>
      <c r="I185" s="4" t="str" cm="1">
        <f t="array" ref="I185">IFERROR(INDEX('Budget Planning'!$C:$C, header_row_id), "")</f>
        <v/>
      </c>
      <c r="J185" t="str" cm="1">
        <f t="array" ref="J185">IFERROR(INDEX('Budget Planning'!$C:$C, row_id), "")</f>
        <v/>
      </c>
      <c r="K185" s="52" t="str" cm="1">
        <f t="array" ref="K18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5" s="53" t="str" cm="1">
        <f t="array" ref="L185">IF(OR(is_header, is_empty), "", INDEX('Budget Planning'!$E:$EM, row_id, MATCH(IF(selected_period="Total Year", selected_year, DATE(selected_year, selected_period, 1)), 'Budget Planning'!$E$9:$EM$9, 0)))</f>
        <v/>
      </c>
      <c r="M185" s="50" t="str" cm="1">
        <f t="array" ref="M185">IF(is_category, IF(header_row_id=income_header_row, MATCH(income_min_row, $C:$C, 0), IF(header_row_id=expenses_header_row, MATCH(expenses_min_row, $C:$C, 0), IF(header_row_id=savings_header_row, MATCH(savings_min_row, $C:$C, 0), ""))), "")</f>
        <v/>
      </c>
      <c r="N185" s="51" t="str" cm="1">
        <f t="array" ref="N185">IF(is_category, IF(header_row_id=income_header_row, MATCH(income_max_row, $C:$C, 0), IF(header_row_id=expenses_header_row, MATCH(expenses_max_row, $C:$C, 0), IF(header_row_id=savings_header_row, MATCH(savings_max_row, $C:$C, 0), ""))), "")</f>
        <v/>
      </c>
      <c r="O185" s="50" t="str">
        <f t="shared" si="98"/>
        <v/>
      </c>
      <c r="P185" s="49" t="str">
        <f t="shared" ca="1" si="99"/>
        <v/>
      </c>
      <c r="Q185" s="49" t="str">
        <f t="shared" si="100"/>
        <v/>
      </c>
      <c r="R185" s="51" t="str">
        <f t="shared" ca="1" si="101"/>
        <v/>
      </c>
      <c r="S185" s="50" t="str">
        <f t="shared" si="102"/>
        <v/>
      </c>
      <c r="T185" s="49" t="str">
        <f t="shared" si="103"/>
        <v/>
      </c>
      <c r="U185" s="49" t="str">
        <f t="shared" ca="1" si="104"/>
        <v/>
      </c>
      <c r="V185" s="49" t="str">
        <f t="shared" si="105"/>
        <v/>
      </c>
      <c r="W185" s="47" t="str">
        <f t="shared" ca="1" si="106"/>
        <v/>
      </c>
      <c r="X185" s="56">
        <f t="shared" si="107"/>
        <v>-1</v>
      </c>
      <c r="Y185" s="57" t="str">
        <f t="shared" si="108"/>
        <v/>
      </c>
      <c r="Z185" s="59" t="str">
        <f t="shared" si="109"/>
        <v/>
      </c>
      <c r="AA185" s="59" t="str">
        <f t="shared" si="110"/>
        <v/>
      </c>
      <c r="AB185" s="58" t="str">
        <f t="shared" si="111"/>
        <v/>
      </c>
      <c r="AC185" s="59" t="str">
        <f t="shared" si="112"/>
        <v/>
      </c>
      <c r="AD185" s="59" t="str">
        <f t="shared" si="113"/>
        <v/>
      </c>
    </row>
    <row r="186" spans="3:30" x14ac:dyDescent="0.25">
      <c r="C186" s="4" cm="1">
        <f t="array" ref="C186">IF(C185=-1,-1, IF(C185&lt;income_max_row, C185+1, IF(C185=income_max_row, income_total_row, IF(C185=income_total_row, "/1", IF(C185="/1", expenses_header_row, IF(C185&lt;expenses_max_row, C185+1, IF(C185=expenses_max_row, expenses_total_row, IF(C185=expenses_total_row, "/2", IF(C185="/2", savings_header_row, IF(C185&lt;savings_max_row, C185+1, IF(C185=savings_max_row, savings_total_row, -1)))))))))))</f>
        <v>-1</v>
      </c>
      <c r="D186" s="5">
        <f t="shared" si="95"/>
        <v>-1</v>
      </c>
      <c r="E186" s="4" cm="1">
        <f t="array" ref="E186">1*OR(row_id=income_header_row, row_id=expenses_header_row, row_id=savings_header_row)</f>
        <v>0</v>
      </c>
      <c r="F186">
        <f t="shared" si="96"/>
        <v>0</v>
      </c>
      <c r="G186" cm="1">
        <f t="array" ref="G186">1*OR(row_id=income_total_row, row_id=expenses_total_row, row_id=savings_total_row)</f>
        <v>0</v>
      </c>
      <c r="H186" s="5">
        <f t="shared" si="97"/>
        <v>1</v>
      </c>
      <c r="I186" s="4" t="str" cm="1">
        <f t="array" ref="I186">IFERROR(INDEX('Budget Planning'!$C:$C, header_row_id), "")</f>
        <v/>
      </c>
      <c r="J186" t="str" cm="1">
        <f t="array" ref="J186">IFERROR(INDEX('Budget Planning'!$C:$C, row_id), "")</f>
        <v/>
      </c>
      <c r="K186" s="52" t="str" cm="1">
        <f t="array" ref="K18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6" s="53" t="str" cm="1">
        <f t="array" ref="L186">IF(OR(is_header, is_empty), "", INDEX('Budget Planning'!$E:$EM, row_id, MATCH(IF(selected_period="Total Year", selected_year, DATE(selected_year, selected_period, 1)), 'Budget Planning'!$E$9:$EM$9, 0)))</f>
        <v/>
      </c>
      <c r="M186" s="50" t="str" cm="1">
        <f t="array" ref="M186">IF(is_category, IF(header_row_id=income_header_row, MATCH(income_min_row, $C:$C, 0), IF(header_row_id=expenses_header_row, MATCH(expenses_min_row, $C:$C, 0), IF(header_row_id=savings_header_row, MATCH(savings_min_row, $C:$C, 0), ""))), "")</f>
        <v/>
      </c>
      <c r="N186" s="51" t="str" cm="1">
        <f t="array" ref="N186">IF(is_category, IF(header_row_id=income_header_row, MATCH(income_max_row, $C:$C, 0), IF(header_row_id=expenses_header_row, MATCH(expenses_max_row, $C:$C, 0), IF(header_row_id=savings_header_row, MATCH(savings_max_row, $C:$C, 0), ""))), "")</f>
        <v/>
      </c>
      <c r="O186" s="50" t="str">
        <f t="shared" si="98"/>
        <v/>
      </c>
      <c r="P186" s="49" t="str">
        <f t="shared" ca="1" si="99"/>
        <v/>
      </c>
      <c r="Q186" s="49" t="str">
        <f t="shared" si="100"/>
        <v/>
      </c>
      <c r="R186" s="51" t="str">
        <f t="shared" ca="1" si="101"/>
        <v/>
      </c>
      <c r="S186" s="50" t="str">
        <f t="shared" si="102"/>
        <v/>
      </c>
      <c r="T186" s="49" t="str">
        <f t="shared" si="103"/>
        <v/>
      </c>
      <c r="U186" s="49" t="str">
        <f t="shared" ca="1" si="104"/>
        <v/>
      </c>
      <c r="V186" s="49" t="str">
        <f t="shared" si="105"/>
        <v/>
      </c>
      <c r="W186" s="47" t="str">
        <f t="shared" ca="1" si="106"/>
        <v/>
      </c>
      <c r="X186" s="56">
        <f t="shared" si="107"/>
        <v>-1</v>
      </c>
      <c r="Y186" s="57" t="str">
        <f t="shared" si="108"/>
        <v/>
      </c>
      <c r="Z186" s="59" t="str">
        <f t="shared" si="109"/>
        <v/>
      </c>
      <c r="AA186" s="59" t="str">
        <f t="shared" si="110"/>
        <v/>
      </c>
      <c r="AB186" s="58" t="str">
        <f t="shared" si="111"/>
        <v/>
      </c>
      <c r="AC186" s="59" t="str">
        <f t="shared" si="112"/>
        <v/>
      </c>
      <c r="AD186" s="59" t="str">
        <f t="shared" si="113"/>
        <v/>
      </c>
    </row>
    <row r="187" spans="3:30" x14ac:dyDescent="0.25">
      <c r="C187" s="4" cm="1">
        <f t="array" ref="C187">IF(C186=-1,-1, IF(C186&lt;income_max_row, C186+1, IF(C186=income_max_row, income_total_row, IF(C186=income_total_row, "/1", IF(C186="/1", expenses_header_row, IF(C186&lt;expenses_max_row, C186+1, IF(C186=expenses_max_row, expenses_total_row, IF(C186=expenses_total_row, "/2", IF(C186="/2", savings_header_row, IF(C186&lt;savings_max_row, C186+1, IF(C186=savings_max_row, savings_total_row, -1)))))))))))</f>
        <v>-1</v>
      </c>
      <c r="D187" s="5">
        <f t="shared" si="95"/>
        <v>-1</v>
      </c>
      <c r="E187" s="4" cm="1">
        <f t="array" ref="E187">1*OR(row_id=income_header_row, row_id=expenses_header_row, row_id=savings_header_row)</f>
        <v>0</v>
      </c>
      <c r="F187">
        <f t="shared" si="96"/>
        <v>0</v>
      </c>
      <c r="G187" cm="1">
        <f t="array" ref="G187">1*OR(row_id=income_total_row, row_id=expenses_total_row, row_id=savings_total_row)</f>
        <v>0</v>
      </c>
      <c r="H187" s="5">
        <f t="shared" si="97"/>
        <v>1</v>
      </c>
      <c r="I187" s="4" t="str" cm="1">
        <f t="array" ref="I187">IFERROR(INDEX('Budget Planning'!$C:$C, header_row_id), "")</f>
        <v/>
      </c>
      <c r="J187" t="str" cm="1">
        <f t="array" ref="J187">IFERROR(INDEX('Budget Planning'!$C:$C, row_id), "")</f>
        <v/>
      </c>
      <c r="K187" s="52" t="str" cm="1">
        <f t="array" ref="K18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7" s="53" t="str" cm="1">
        <f t="array" ref="L187">IF(OR(is_header, is_empty), "", INDEX('Budget Planning'!$E:$EM, row_id, MATCH(IF(selected_period="Total Year", selected_year, DATE(selected_year, selected_period, 1)), 'Budget Planning'!$E$9:$EM$9, 0)))</f>
        <v/>
      </c>
      <c r="M187" s="50" t="str" cm="1">
        <f t="array" ref="M187">IF(is_category, IF(header_row_id=income_header_row, MATCH(income_min_row, $C:$C, 0), IF(header_row_id=expenses_header_row, MATCH(expenses_min_row, $C:$C, 0), IF(header_row_id=savings_header_row, MATCH(savings_min_row, $C:$C, 0), ""))), "")</f>
        <v/>
      </c>
      <c r="N187" s="51" t="str" cm="1">
        <f t="array" ref="N187">IF(is_category, IF(header_row_id=income_header_row, MATCH(income_max_row, $C:$C, 0), IF(header_row_id=expenses_header_row, MATCH(expenses_max_row, $C:$C, 0), IF(header_row_id=savings_header_row, MATCH(savings_max_row, $C:$C, 0), ""))), "")</f>
        <v/>
      </c>
      <c r="O187" s="50" t="str">
        <f t="shared" si="98"/>
        <v/>
      </c>
      <c r="P187" s="49" t="str">
        <f t="shared" ca="1" si="99"/>
        <v/>
      </c>
      <c r="Q187" s="49" t="str">
        <f t="shared" si="100"/>
        <v/>
      </c>
      <c r="R187" s="51" t="str">
        <f t="shared" ca="1" si="101"/>
        <v/>
      </c>
      <c r="S187" s="50" t="str">
        <f t="shared" si="102"/>
        <v/>
      </c>
      <c r="T187" s="49" t="str">
        <f t="shared" si="103"/>
        <v/>
      </c>
      <c r="U187" s="49" t="str">
        <f t="shared" ca="1" si="104"/>
        <v/>
      </c>
      <c r="V187" s="49" t="str">
        <f t="shared" si="105"/>
        <v/>
      </c>
      <c r="W187" s="47" t="str">
        <f t="shared" ca="1" si="106"/>
        <v/>
      </c>
      <c r="X187" s="56">
        <f t="shared" si="107"/>
        <v>-1</v>
      </c>
      <c r="Y187" s="57" t="str">
        <f t="shared" si="108"/>
        <v/>
      </c>
      <c r="Z187" s="59" t="str">
        <f t="shared" si="109"/>
        <v/>
      </c>
      <c r="AA187" s="59" t="str">
        <f t="shared" si="110"/>
        <v/>
      </c>
      <c r="AB187" s="58" t="str">
        <f t="shared" si="111"/>
        <v/>
      </c>
      <c r="AC187" s="59" t="str">
        <f t="shared" si="112"/>
        <v/>
      </c>
      <c r="AD187" s="59" t="str">
        <f t="shared" si="113"/>
        <v/>
      </c>
    </row>
    <row r="188" spans="3:30" x14ac:dyDescent="0.25">
      <c r="C188" s="4" cm="1">
        <f t="array" ref="C188">IF(C187=-1,-1, IF(C187&lt;income_max_row, C187+1, IF(C187=income_max_row, income_total_row, IF(C187=income_total_row, "/1", IF(C187="/1", expenses_header_row, IF(C187&lt;expenses_max_row, C187+1, IF(C187=expenses_max_row, expenses_total_row, IF(C187=expenses_total_row, "/2", IF(C187="/2", savings_header_row, IF(C187&lt;savings_max_row, C187+1, IF(C187=savings_max_row, savings_total_row, -1)))))))))))</f>
        <v>-1</v>
      </c>
      <c r="D188" s="5">
        <f t="shared" si="95"/>
        <v>-1</v>
      </c>
      <c r="E188" s="4" cm="1">
        <f t="array" ref="E188">1*OR(row_id=income_header_row, row_id=expenses_header_row, row_id=savings_header_row)</f>
        <v>0</v>
      </c>
      <c r="F188">
        <f t="shared" si="96"/>
        <v>0</v>
      </c>
      <c r="G188" cm="1">
        <f t="array" ref="G188">1*OR(row_id=income_total_row, row_id=expenses_total_row, row_id=savings_total_row)</f>
        <v>0</v>
      </c>
      <c r="H188" s="5">
        <f t="shared" si="97"/>
        <v>1</v>
      </c>
      <c r="I188" s="4" t="str" cm="1">
        <f t="array" ref="I188">IFERROR(INDEX('Budget Planning'!$C:$C, header_row_id), "")</f>
        <v/>
      </c>
      <c r="J188" t="str" cm="1">
        <f t="array" ref="J188">IFERROR(INDEX('Budget Planning'!$C:$C, row_id), "")</f>
        <v/>
      </c>
      <c r="K188" s="52" t="str" cm="1">
        <f t="array" ref="K18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8" s="53" t="str" cm="1">
        <f t="array" ref="L188">IF(OR(is_header, is_empty), "", INDEX('Budget Planning'!$E:$EM, row_id, MATCH(IF(selected_period="Total Year", selected_year, DATE(selected_year, selected_period, 1)), 'Budget Planning'!$E$9:$EM$9, 0)))</f>
        <v/>
      </c>
      <c r="M188" s="50" t="str" cm="1">
        <f t="array" ref="M188">IF(is_category, IF(header_row_id=income_header_row, MATCH(income_min_row, $C:$C, 0), IF(header_row_id=expenses_header_row, MATCH(expenses_min_row, $C:$C, 0), IF(header_row_id=savings_header_row, MATCH(savings_min_row, $C:$C, 0), ""))), "")</f>
        <v/>
      </c>
      <c r="N188" s="51" t="str" cm="1">
        <f t="array" ref="N188">IF(is_category, IF(header_row_id=income_header_row, MATCH(income_max_row, $C:$C, 0), IF(header_row_id=expenses_header_row, MATCH(expenses_max_row, $C:$C, 0), IF(header_row_id=savings_header_row, MATCH(savings_max_row, $C:$C, 0), ""))), "")</f>
        <v/>
      </c>
      <c r="O188" s="50" t="str">
        <f t="shared" si="98"/>
        <v/>
      </c>
      <c r="P188" s="49" t="str">
        <f t="shared" ca="1" si="99"/>
        <v/>
      </c>
      <c r="Q188" s="49" t="str">
        <f t="shared" si="100"/>
        <v/>
      </c>
      <c r="R188" s="51" t="str">
        <f t="shared" ca="1" si="101"/>
        <v/>
      </c>
      <c r="S188" s="50" t="str">
        <f t="shared" si="102"/>
        <v/>
      </c>
      <c r="T188" s="49" t="str">
        <f t="shared" si="103"/>
        <v/>
      </c>
      <c r="U188" s="49" t="str">
        <f t="shared" ca="1" si="104"/>
        <v/>
      </c>
      <c r="V188" s="49" t="str">
        <f t="shared" si="105"/>
        <v/>
      </c>
      <c r="W188" s="47" t="str">
        <f t="shared" ca="1" si="106"/>
        <v/>
      </c>
      <c r="X188" s="56">
        <f t="shared" si="107"/>
        <v>-1</v>
      </c>
      <c r="Y188" s="57" t="str">
        <f t="shared" si="108"/>
        <v/>
      </c>
      <c r="Z188" s="59" t="str">
        <f t="shared" si="109"/>
        <v/>
      </c>
      <c r="AA188" s="59" t="str">
        <f t="shared" si="110"/>
        <v/>
      </c>
      <c r="AB188" s="58" t="str">
        <f t="shared" si="111"/>
        <v/>
      </c>
      <c r="AC188" s="59" t="str">
        <f t="shared" si="112"/>
        <v/>
      </c>
      <c r="AD188" s="59" t="str">
        <f t="shared" si="113"/>
        <v/>
      </c>
    </row>
    <row r="189" spans="3:30" x14ac:dyDescent="0.25">
      <c r="C189" s="4" cm="1">
        <f t="array" ref="C189">IF(C188=-1,-1, IF(C188&lt;income_max_row, C188+1, IF(C188=income_max_row, income_total_row, IF(C188=income_total_row, "/1", IF(C188="/1", expenses_header_row, IF(C188&lt;expenses_max_row, C188+1, IF(C188=expenses_max_row, expenses_total_row, IF(C188=expenses_total_row, "/2", IF(C188="/2", savings_header_row, IF(C188&lt;savings_max_row, C188+1, IF(C188=savings_max_row, savings_total_row, -1)))))))))))</f>
        <v>-1</v>
      </c>
      <c r="D189" s="5">
        <f t="shared" si="95"/>
        <v>-1</v>
      </c>
      <c r="E189" s="4" cm="1">
        <f t="array" ref="E189">1*OR(row_id=income_header_row, row_id=expenses_header_row, row_id=savings_header_row)</f>
        <v>0</v>
      </c>
      <c r="F189">
        <f t="shared" si="96"/>
        <v>0</v>
      </c>
      <c r="G189" cm="1">
        <f t="array" ref="G189">1*OR(row_id=income_total_row, row_id=expenses_total_row, row_id=savings_total_row)</f>
        <v>0</v>
      </c>
      <c r="H189" s="5">
        <f t="shared" si="97"/>
        <v>1</v>
      </c>
      <c r="I189" s="4" t="str" cm="1">
        <f t="array" ref="I189">IFERROR(INDEX('Budget Planning'!$C:$C, header_row_id), "")</f>
        <v/>
      </c>
      <c r="J189" t="str" cm="1">
        <f t="array" ref="J189">IFERROR(INDEX('Budget Planning'!$C:$C, row_id), "")</f>
        <v/>
      </c>
      <c r="K189" s="52" t="str" cm="1">
        <f t="array" ref="K18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9" s="53" t="str" cm="1">
        <f t="array" ref="L189">IF(OR(is_header, is_empty), "", INDEX('Budget Planning'!$E:$EM, row_id, MATCH(IF(selected_period="Total Year", selected_year, DATE(selected_year, selected_period, 1)), 'Budget Planning'!$E$9:$EM$9, 0)))</f>
        <v/>
      </c>
      <c r="M189" s="50" t="str" cm="1">
        <f t="array" ref="M189">IF(is_category, IF(header_row_id=income_header_row, MATCH(income_min_row, $C:$C, 0), IF(header_row_id=expenses_header_row, MATCH(expenses_min_row, $C:$C, 0), IF(header_row_id=savings_header_row, MATCH(savings_min_row, $C:$C, 0), ""))), "")</f>
        <v/>
      </c>
      <c r="N189" s="51" t="str" cm="1">
        <f t="array" ref="N189">IF(is_category, IF(header_row_id=income_header_row, MATCH(income_max_row, $C:$C, 0), IF(header_row_id=expenses_header_row, MATCH(expenses_max_row, $C:$C, 0), IF(header_row_id=savings_header_row, MATCH(savings_max_row, $C:$C, 0), ""))), "")</f>
        <v/>
      </c>
      <c r="O189" s="50" t="str">
        <f t="shared" si="98"/>
        <v/>
      </c>
      <c r="P189" s="49" t="str">
        <f t="shared" ca="1" si="99"/>
        <v/>
      </c>
      <c r="Q189" s="49" t="str">
        <f t="shared" si="100"/>
        <v/>
      </c>
      <c r="R189" s="51" t="str">
        <f t="shared" ca="1" si="101"/>
        <v/>
      </c>
      <c r="S189" s="50" t="str">
        <f t="shared" si="102"/>
        <v/>
      </c>
      <c r="T189" s="49" t="str">
        <f t="shared" si="103"/>
        <v/>
      </c>
      <c r="U189" s="49" t="str">
        <f t="shared" ca="1" si="104"/>
        <v/>
      </c>
      <c r="V189" s="49" t="str">
        <f t="shared" si="105"/>
        <v/>
      </c>
      <c r="W189" s="47" t="str">
        <f t="shared" ca="1" si="106"/>
        <v/>
      </c>
      <c r="X189" s="56">
        <f t="shared" si="107"/>
        <v>-1</v>
      </c>
      <c r="Y189" s="57" t="str">
        <f t="shared" si="108"/>
        <v/>
      </c>
      <c r="Z189" s="59" t="str">
        <f t="shared" si="109"/>
        <v/>
      </c>
      <c r="AA189" s="59" t="str">
        <f t="shared" si="110"/>
        <v/>
      </c>
      <c r="AB189" s="58" t="str">
        <f t="shared" si="111"/>
        <v/>
      </c>
      <c r="AC189" s="59" t="str">
        <f t="shared" si="112"/>
        <v/>
      </c>
      <c r="AD189" s="59" t="str">
        <f t="shared" si="113"/>
        <v/>
      </c>
    </row>
    <row r="190" spans="3:30" x14ac:dyDescent="0.25">
      <c r="C190" s="4" cm="1">
        <f t="array" ref="C190">IF(C189=-1,-1, IF(C189&lt;income_max_row, C189+1, IF(C189=income_max_row, income_total_row, IF(C189=income_total_row, "/1", IF(C189="/1", expenses_header_row, IF(C189&lt;expenses_max_row, C189+1, IF(C189=expenses_max_row, expenses_total_row, IF(C189=expenses_total_row, "/2", IF(C189="/2", savings_header_row, IF(C189&lt;savings_max_row, C189+1, IF(C189=savings_max_row, savings_total_row, -1)))))))))))</f>
        <v>-1</v>
      </c>
      <c r="D190" s="5">
        <f t="shared" si="95"/>
        <v>-1</v>
      </c>
      <c r="E190" s="4" cm="1">
        <f t="array" ref="E190">1*OR(row_id=income_header_row, row_id=expenses_header_row, row_id=savings_header_row)</f>
        <v>0</v>
      </c>
      <c r="F190">
        <f t="shared" si="96"/>
        <v>0</v>
      </c>
      <c r="G190" cm="1">
        <f t="array" ref="G190">1*OR(row_id=income_total_row, row_id=expenses_total_row, row_id=savings_total_row)</f>
        <v>0</v>
      </c>
      <c r="H190" s="5">
        <f t="shared" si="97"/>
        <v>1</v>
      </c>
      <c r="I190" s="4" t="str" cm="1">
        <f t="array" ref="I190">IFERROR(INDEX('Budget Planning'!$C:$C, header_row_id), "")</f>
        <v/>
      </c>
      <c r="J190" t="str" cm="1">
        <f t="array" ref="J190">IFERROR(INDEX('Budget Planning'!$C:$C, row_id), "")</f>
        <v/>
      </c>
      <c r="K190" s="52" t="str" cm="1">
        <f t="array" ref="K19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0" s="53" t="str" cm="1">
        <f t="array" ref="L190">IF(OR(is_header, is_empty), "", INDEX('Budget Planning'!$E:$EM, row_id, MATCH(IF(selected_period="Total Year", selected_year, DATE(selected_year, selected_period, 1)), 'Budget Planning'!$E$9:$EM$9, 0)))</f>
        <v/>
      </c>
      <c r="M190" s="50" t="str" cm="1">
        <f t="array" ref="M190">IF(is_category, IF(header_row_id=income_header_row, MATCH(income_min_row, $C:$C, 0), IF(header_row_id=expenses_header_row, MATCH(expenses_min_row, $C:$C, 0), IF(header_row_id=savings_header_row, MATCH(savings_min_row, $C:$C, 0), ""))), "")</f>
        <v/>
      </c>
      <c r="N190" s="51" t="str" cm="1">
        <f t="array" ref="N190">IF(is_category, IF(header_row_id=income_header_row, MATCH(income_max_row, $C:$C, 0), IF(header_row_id=expenses_header_row, MATCH(expenses_max_row, $C:$C, 0), IF(header_row_id=savings_header_row, MATCH(savings_max_row, $C:$C, 0), ""))), "")</f>
        <v/>
      </c>
      <c r="O190" s="50" t="str">
        <f t="shared" si="98"/>
        <v/>
      </c>
      <c r="P190" s="49" t="str">
        <f t="shared" ca="1" si="99"/>
        <v/>
      </c>
      <c r="Q190" s="49" t="str">
        <f t="shared" si="100"/>
        <v/>
      </c>
      <c r="R190" s="51" t="str">
        <f t="shared" ca="1" si="101"/>
        <v/>
      </c>
      <c r="S190" s="50" t="str">
        <f t="shared" si="102"/>
        <v/>
      </c>
      <c r="T190" s="49" t="str">
        <f t="shared" si="103"/>
        <v/>
      </c>
      <c r="U190" s="49" t="str">
        <f t="shared" ca="1" si="104"/>
        <v/>
      </c>
      <c r="V190" s="49" t="str">
        <f t="shared" si="105"/>
        <v/>
      </c>
      <c r="W190" s="47" t="str">
        <f t="shared" ca="1" si="106"/>
        <v/>
      </c>
      <c r="X190" s="56">
        <f t="shared" si="107"/>
        <v>-1</v>
      </c>
      <c r="Y190" s="57" t="str">
        <f t="shared" si="108"/>
        <v/>
      </c>
      <c r="Z190" s="59" t="str">
        <f t="shared" si="109"/>
        <v/>
      </c>
      <c r="AA190" s="59" t="str">
        <f t="shared" si="110"/>
        <v/>
      </c>
      <c r="AB190" s="58" t="str">
        <f t="shared" si="111"/>
        <v/>
      </c>
      <c r="AC190" s="59" t="str">
        <f t="shared" si="112"/>
        <v/>
      </c>
      <c r="AD190" s="59" t="str">
        <f t="shared" si="113"/>
        <v/>
      </c>
    </row>
    <row r="191" spans="3:30" x14ac:dyDescent="0.25">
      <c r="C191" s="4" cm="1">
        <f t="array" ref="C191">IF(C190=-1,-1, IF(C190&lt;income_max_row, C190+1, IF(C190=income_max_row, income_total_row, IF(C190=income_total_row, "/1", IF(C190="/1", expenses_header_row, IF(C190&lt;expenses_max_row, C190+1, IF(C190=expenses_max_row, expenses_total_row, IF(C190=expenses_total_row, "/2", IF(C190="/2", savings_header_row, IF(C190&lt;savings_max_row, C190+1, IF(C190=savings_max_row, savings_total_row, -1)))))))))))</f>
        <v>-1</v>
      </c>
      <c r="D191" s="5">
        <f t="shared" si="95"/>
        <v>-1</v>
      </c>
      <c r="E191" s="4" cm="1">
        <f t="array" ref="E191">1*OR(row_id=income_header_row, row_id=expenses_header_row, row_id=savings_header_row)</f>
        <v>0</v>
      </c>
      <c r="F191">
        <f t="shared" si="96"/>
        <v>0</v>
      </c>
      <c r="G191" cm="1">
        <f t="array" ref="G191">1*OR(row_id=income_total_row, row_id=expenses_total_row, row_id=savings_total_row)</f>
        <v>0</v>
      </c>
      <c r="H191" s="5">
        <f t="shared" si="97"/>
        <v>1</v>
      </c>
      <c r="I191" s="4" t="str" cm="1">
        <f t="array" ref="I191">IFERROR(INDEX('Budget Planning'!$C:$C, header_row_id), "")</f>
        <v/>
      </c>
      <c r="J191" t="str" cm="1">
        <f t="array" ref="J191">IFERROR(INDEX('Budget Planning'!$C:$C, row_id), "")</f>
        <v/>
      </c>
      <c r="K191" s="52" t="str" cm="1">
        <f t="array" ref="K191">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1" s="53" t="str" cm="1">
        <f t="array" ref="L191">IF(OR(is_header, is_empty), "", INDEX('Budget Planning'!$E:$EM, row_id, MATCH(IF(selected_period="Total Year", selected_year, DATE(selected_year, selected_period, 1)), 'Budget Planning'!$E$9:$EM$9, 0)))</f>
        <v/>
      </c>
      <c r="M191" s="50" t="str" cm="1">
        <f t="array" ref="M191">IF(is_category, IF(header_row_id=income_header_row, MATCH(income_min_row, $C:$C, 0), IF(header_row_id=expenses_header_row, MATCH(expenses_min_row, $C:$C, 0), IF(header_row_id=savings_header_row, MATCH(savings_min_row, $C:$C, 0), ""))), "")</f>
        <v/>
      </c>
      <c r="N191" s="51" t="str" cm="1">
        <f t="array" ref="N191">IF(is_category, IF(header_row_id=income_header_row, MATCH(income_max_row, $C:$C, 0), IF(header_row_id=expenses_header_row, MATCH(expenses_max_row, $C:$C, 0), IF(header_row_id=savings_header_row, MATCH(savings_max_row, $C:$C, 0), ""))), "")</f>
        <v/>
      </c>
      <c r="O191" s="50" t="str">
        <f t="shared" si="98"/>
        <v/>
      </c>
      <c r="P191" s="49" t="str">
        <f t="shared" ca="1" si="99"/>
        <v/>
      </c>
      <c r="Q191" s="49" t="str">
        <f t="shared" si="100"/>
        <v/>
      </c>
      <c r="R191" s="51" t="str">
        <f t="shared" ca="1" si="101"/>
        <v/>
      </c>
      <c r="S191" s="50" t="str">
        <f t="shared" si="102"/>
        <v/>
      </c>
      <c r="T191" s="49" t="str">
        <f t="shared" si="103"/>
        <v/>
      </c>
      <c r="U191" s="49" t="str">
        <f t="shared" ca="1" si="104"/>
        <v/>
      </c>
      <c r="V191" s="49" t="str">
        <f t="shared" si="105"/>
        <v/>
      </c>
      <c r="W191" s="47" t="str">
        <f t="shared" ca="1" si="106"/>
        <v/>
      </c>
      <c r="X191" s="56">
        <f t="shared" si="107"/>
        <v>-1</v>
      </c>
      <c r="Y191" s="57" t="str">
        <f t="shared" si="108"/>
        <v/>
      </c>
      <c r="Z191" s="59" t="str">
        <f t="shared" si="109"/>
        <v/>
      </c>
      <c r="AA191" s="59" t="str">
        <f t="shared" si="110"/>
        <v/>
      </c>
      <c r="AB191" s="58" t="str">
        <f t="shared" si="111"/>
        <v/>
      </c>
      <c r="AC191" s="59" t="str">
        <f t="shared" si="112"/>
        <v/>
      </c>
      <c r="AD191" s="59" t="str">
        <f t="shared" si="113"/>
        <v/>
      </c>
    </row>
    <row r="192" spans="3:30" x14ac:dyDescent="0.25">
      <c r="C192" s="4" cm="1">
        <f t="array" ref="C192">IF(C191=-1,-1, IF(C191&lt;income_max_row, C191+1, IF(C191=income_max_row, income_total_row, IF(C191=income_total_row, "/1", IF(C191="/1", expenses_header_row, IF(C191&lt;expenses_max_row, C191+1, IF(C191=expenses_max_row, expenses_total_row, IF(C191=expenses_total_row, "/2", IF(C191="/2", savings_header_row, IF(C191&lt;savings_max_row, C191+1, IF(C191=savings_max_row, savings_total_row, -1)))))))))))</f>
        <v>-1</v>
      </c>
      <c r="D192" s="5">
        <f t="shared" si="95"/>
        <v>-1</v>
      </c>
      <c r="E192" s="4" cm="1">
        <f t="array" ref="E192">1*OR(row_id=income_header_row, row_id=expenses_header_row, row_id=savings_header_row)</f>
        <v>0</v>
      </c>
      <c r="F192">
        <f t="shared" si="96"/>
        <v>0</v>
      </c>
      <c r="G192" cm="1">
        <f t="array" ref="G192">1*OR(row_id=income_total_row, row_id=expenses_total_row, row_id=savings_total_row)</f>
        <v>0</v>
      </c>
      <c r="H192" s="5">
        <f t="shared" si="97"/>
        <v>1</v>
      </c>
      <c r="I192" s="4" t="str" cm="1">
        <f t="array" ref="I192">IFERROR(INDEX('Budget Planning'!$C:$C, header_row_id), "")</f>
        <v/>
      </c>
      <c r="J192" t="str" cm="1">
        <f t="array" ref="J192">IFERROR(INDEX('Budget Planning'!$C:$C, row_id), "")</f>
        <v/>
      </c>
      <c r="K192" s="52" t="str" cm="1">
        <f t="array" ref="K192">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2" s="53" t="str" cm="1">
        <f t="array" ref="L192">IF(OR(is_header, is_empty), "", INDEX('Budget Planning'!$E:$EM, row_id, MATCH(IF(selected_period="Total Year", selected_year, DATE(selected_year, selected_period, 1)), 'Budget Planning'!$E$9:$EM$9, 0)))</f>
        <v/>
      </c>
      <c r="M192" s="50" t="str" cm="1">
        <f t="array" ref="M192">IF(is_category, IF(header_row_id=income_header_row, MATCH(income_min_row, $C:$C, 0), IF(header_row_id=expenses_header_row, MATCH(expenses_min_row, $C:$C, 0), IF(header_row_id=savings_header_row, MATCH(savings_min_row, $C:$C, 0), ""))), "")</f>
        <v/>
      </c>
      <c r="N192" s="51" t="str" cm="1">
        <f t="array" ref="N192">IF(is_category, IF(header_row_id=income_header_row, MATCH(income_max_row, $C:$C, 0), IF(header_row_id=expenses_header_row, MATCH(expenses_max_row, $C:$C, 0), IF(header_row_id=savings_header_row, MATCH(savings_max_row, $C:$C, 0), ""))), "")</f>
        <v/>
      </c>
      <c r="O192" s="50" t="str">
        <f t="shared" si="98"/>
        <v/>
      </c>
      <c r="P192" s="49" t="str">
        <f t="shared" ca="1" si="99"/>
        <v/>
      </c>
      <c r="Q192" s="49" t="str">
        <f t="shared" si="100"/>
        <v/>
      </c>
      <c r="R192" s="51" t="str">
        <f t="shared" ca="1" si="101"/>
        <v/>
      </c>
      <c r="S192" s="50" t="str">
        <f t="shared" si="102"/>
        <v/>
      </c>
      <c r="T192" s="49" t="str">
        <f t="shared" si="103"/>
        <v/>
      </c>
      <c r="U192" s="49" t="str">
        <f t="shared" ca="1" si="104"/>
        <v/>
      </c>
      <c r="V192" s="49" t="str">
        <f t="shared" si="105"/>
        <v/>
      </c>
      <c r="W192" s="47" t="str">
        <f t="shared" ca="1" si="106"/>
        <v/>
      </c>
      <c r="X192" s="56">
        <f t="shared" si="107"/>
        <v>-1</v>
      </c>
      <c r="Y192" s="57" t="str">
        <f t="shared" si="108"/>
        <v/>
      </c>
      <c r="Z192" s="59" t="str">
        <f t="shared" si="109"/>
        <v/>
      </c>
      <c r="AA192" s="59" t="str">
        <f t="shared" si="110"/>
        <v/>
      </c>
      <c r="AB192" s="58" t="str">
        <f t="shared" si="111"/>
        <v/>
      </c>
      <c r="AC192" s="59" t="str">
        <f t="shared" si="112"/>
        <v/>
      </c>
      <c r="AD192" s="59" t="str">
        <f t="shared" si="113"/>
        <v/>
      </c>
    </row>
    <row r="193" spans="3:30" x14ac:dyDescent="0.25">
      <c r="C193" s="4" cm="1">
        <f t="array" ref="C193">IF(C192=-1,-1, IF(C192&lt;income_max_row, C192+1, IF(C192=income_max_row, income_total_row, IF(C192=income_total_row, "/1", IF(C192="/1", expenses_header_row, IF(C192&lt;expenses_max_row, C192+1, IF(C192=expenses_max_row, expenses_total_row, IF(C192=expenses_total_row, "/2", IF(C192="/2", savings_header_row, IF(C192&lt;savings_max_row, C192+1, IF(C192=savings_max_row, savings_total_row, -1)))))))))))</f>
        <v>-1</v>
      </c>
      <c r="D193" s="5">
        <f t="shared" si="95"/>
        <v>-1</v>
      </c>
      <c r="E193" s="4" cm="1">
        <f t="array" ref="E193">1*OR(row_id=income_header_row, row_id=expenses_header_row, row_id=savings_header_row)</f>
        <v>0</v>
      </c>
      <c r="F193">
        <f t="shared" si="96"/>
        <v>0</v>
      </c>
      <c r="G193" cm="1">
        <f t="array" ref="G193">1*OR(row_id=income_total_row, row_id=expenses_total_row, row_id=savings_total_row)</f>
        <v>0</v>
      </c>
      <c r="H193" s="5">
        <f t="shared" si="97"/>
        <v>1</v>
      </c>
      <c r="I193" s="4" t="str" cm="1">
        <f t="array" ref="I193">IFERROR(INDEX('Budget Planning'!$C:$C, header_row_id), "")</f>
        <v/>
      </c>
      <c r="J193" t="str" cm="1">
        <f t="array" ref="J193">IFERROR(INDEX('Budget Planning'!$C:$C, row_id), "")</f>
        <v/>
      </c>
      <c r="K193" s="52" t="str" cm="1">
        <f t="array" ref="K193">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3" s="53" t="str" cm="1">
        <f t="array" ref="L193">IF(OR(is_header, is_empty), "", INDEX('Budget Planning'!$E:$EM, row_id, MATCH(IF(selected_period="Total Year", selected_year, DATE(selected_year, selected_period, 1)), 'Budget Planning'!$E$9:$EM$9, 0)))</f>
        <v/>
      </c>
      <c r="M193" s="50" t="str" cm="1">
        <f t="array" ref="M193">IF(is_category, IF(header_row_id=income_header_row, MATCH(income_min_row, $C:$C, 0), IF(header_row_id=expenses_header_row, MATCH(expenses_min_row, $C:$C, 0), IF(header_row_id=savings_header_row, MATCH(savings_min_row, $C:$C, 0), ""))), "")</f>
        <v/>
      </c>
      <c r="N193" s="51" t="str" cm="1">
        <f t="array" ref="N193">IF(is_category, IF(header_row_id=income_header_row, MATCH(income_max_row, $C:$C, 0), IF(header_row_id=expenses_header_row, MATCH(expenses_max_row, $C:$C, 0), IF(header_row_id=savings_header_row, MATCH(savings_max_row, $C:$C, 0), ""))), "")</f>
        <v/>
      </c>
      <c r="O193" s="50" t="str">
        <f t="shared" si="98"/>
        <v/>
      </c>
      <c r="P193" s="49" t="str">
        <f t="shared" ca="1" si="99"/>
        <v/>
      </c>
      <c r="Q193" s="49" t="str">
        <f t="shared" si="100"/>
        <v/>
      </c>
      <c r="R193" s="51" t="str">
        <f t="shared" ca="1" si="101"/>
        <v/>
      </c>
      <c r="S193" s="50" t="str">
        <f t="shared" si="102"/>
        <v/>
      </c>
      <c r="T193" s="49" t="str">
        <f t="shared" si="103"/>
        <v/>
      </c>
      <c r="U193" s="49" t="str">
        <f t="shared" ca="1" si="104"/>
        <v/>
      </c>
      <c r="V193" s="49" t="str">
        <f t="shared" si="105"/>
        <v/>
      </c>
      <c r="W193" s="47" t="str">
        <f t="shared" ca="1" si="106"/>
        <v/>
      </c>
      <c r="X193" s="56">
        <f t="shared" si="107"/>
        <v>-1</v>
      </c>
      <c r="Y193" s="57" t="str">
        <f t="shared" si="108"/>
        <v/>
      </c>
      <c r="Z193" s="59" t="str">
        <f t="shared" si="109"/>
        <v/>
      </c>
      <c r="AA193" s="59" t="str">
        <f t="shared" si="110"/>
        <v/>
      </c>
      <c r="AB193" s="58" t="str">
        <f t="shared" si="111"/>
        <v/>
      </c>
      <c r="AC193" s="59" t="str">
        <f t="shared" si="112"/>
        <v/>
      </c>
      <c r="AD193" s="59" t="str">
        <f t="shared" si="113"/>
        <v/>
      </c>
    </row>
    <row r="194" spans="3:30" x14ac:dyDescent="0.25">
      <c r="C194" s="4" cm="1">
        <f t="array" ref="C194">IF(C193=-1,-1, IF(C193&lt;income_max_row, C193+1, IF(C193=income_max_row, income_total_row, IF(C193=income_total_row, "/1", IF(C193="/1", expenses_header_row, IF(C193&lt;expenses_max_row, C193+1, IF(C193=expenses_max_row, expenses_total_row, IF(C193=expenses_total_row, "/2", IF(C193="/2", savings_header_row, IF(C193&lt;savings_max_row, C193+1, IF(C193=savings_max_row, savings_total_row, -1)))))))))))</f>
        <v>-1</v>
      </c>
      <c r="D194" s="5">
        <f t="shared" si="95"/>
        <v>-1</v>
      </c>
      <c r="E194" s="4" cm="1">
        <f t="array" ref="E194">1*OR(row_id=income_header_row, row_id=expenses_header_row, row_id=savings_header_row)</f>
        <v>0</v>
      </c>
      <c r="F194">
        <f t="shared" si="96"/>
        <v>0</v>
      </c>
      <c r="G194" cm="1">
        <f t="array" ref="G194">1*OR(row_id=income_total_row, row_id=expenses_total_row, row_id=savings_total_row)</f>
        <v>0</v>
      </c>
      <c r="H194" s="5">
        <f t="shared" si="97"/>
        <v>1</v>
      </c>
      <c r="I194" s="4" t="str" cm="1">
        <f t="array" ref="I194">IFERROR(INDEX('Budget Planning'!$C:$C, header_row_id), "")</f>
        <v/>
      </c>
      <c r="J194" t="str" cm="1">
        <f t="array" ref="J194">IFERROR(INDEX('Budget Planning'!$C:$C, row_id), "")</f>
        <v/>
      </c>
      <c r="K194" s="52" t="str" cm="1">
        <f t="array" ref="K194">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4" s="53" t="str" cm="1">
        <f t="array" ref="L194">IF(OR(is_header, is_empty), "", INDEX('Budget Planning'!$E:$EM, row_id, MATCH(IF(selected_period="Total Year", selected_year, DATE(selected_year, selected_period, 1)), 'Budget Planning'!$E$9:$EM$9, 0)))</f>
        <v/>
      </c>
      <c r="M194" s="50" t="str" cm="1">
        <f t="array" ref="M194">IF(is_category, IF(header_row_id=income_header_row, MATCH(income_min_row, $C:$C, 0), IF(header_row_id=expenses_header_row, MATCH(expenses_min_row, $C:$C, 0), IF(header_row_id=savings_header_row, MATCH(savings_min_row, $C:$C, 0), ""))), "")</f>
        <v/>
      </c>
      <c r="N194" s="51" t="str" cm="1">
        <f t="array" ref="N194">IF(is_category, IF(header_row_id=income_header_row, MATCH(income_max_row, $C:$C, 0), IF(header_row_id=expenses_header_row, MATCH(expenses_max_row, $C:$C, 0), IF(header_row_id=savings_header_row, MATCH(savings_max_row, $C:$C, 0), ""))), "")</f>
        <v/>
      </c>
      <c r="O194" s="50" t="str">
        <f t="shared" si="98"/>
        <v/>
      </c>
      <c r="P194" s="49" t="str">
        <f t="shared" ca="1" si="99"/>
        <v/>
      </c>
      <c r="Q194" s="49" t="str">
        <f t="shared" si="100"/>
        <v/>
      </c>
      <c r="R194" s="51" t="str">
        <f t="shared" ca="1" si="101"/>
        <v/>
      </c>
      <c r="S194" s="50" t="str">
        <f t="shared" si="102"/>
        <v/>
      </c>
      <c r="T194" s="49" t="str">
        <f t="shared" si="103"/>
        <v/>
      </c>
      <c r="U194" s="49" t="str">
        <f t="shared" ca="1" si="104"/>
        <v/>
      </c>
      <c r="V194" s="49" t="str">
        <f t="shared" si="105"/>
        <v/>
      </c>
      <c r="W194" s="47" t="str">
        <f t="shared" ca="1" si="106"/>
        <v/>
      </c>
      <c r="X194" s="56">
        <f t="shared" si="107"/>
        <v>-1</v>
      </c>
      <c r="Y194" s="57" t="str">
        <f t="shared" si="108"/>
        <v/>
      </c>
      <c r="Z194" s="59" t="str">
        <f t="shared" si="109"/>
        <v/>
      </c>
      <c r="AA194" s="59" t="str">
        <f t="shared" si="110"/>
        <v/>
      </c>
      <c r="AB194" s="58" t="str">
        <f t="shared" si="111"/>
        <v/>
      </c>
      <c r="AC194" s="59" t="str">
        <f t="shared" si="112"/>
        <v/>
      </c>
      <c r="AD194" s="59" t="str">
        <f t="shared" si="113"/>
        <v/>
      </c>
    </row>
    <row r="195" spans="3:30" x14ac:dyDescent="0.25">
      <c r="C195" s="4" cm="1">
        <f t="array" ref="C195">IF(C194=-1,-1, IF(C194&lt;income_max_row, C194+1, IF(C194=income_max_row, income_total_row, IF(C194=income_total_row, "/1", IF(C194="/1", expenses_header_row, IF(C194&lt;expenses_max_row, C194+1, IF(C194=expenses_max_row, expenses_total_row, IF(C194=expenses_total_row, "/2", IF(C194="/2", savings_header_row, IF(C194&lt;savings_max_row, C194+1, IF(C194=savings_max_row, savings_total_row, -1)))))))))))</f>
        <v>-1</v>
      </c>
      <c r="D195" s="5">
        <f t="shared" si="95"/>
        <v>-1</v>
      </c>
      <c r="E195" s="4" cm="1">
        <f t="array" ref="E195">1*OR(row_id=income_header_row, row_id=expenses_header_row, row_id=savings_header_row)</f>
        <v>0</v>
      </c>
      <c r="F195">
        <f t="shared" si="96"/>
        <v>0</v>
      </c>
      <c r="G195" cm="1">
        <f t="array" ref="G195">1*OR(row_id=income_total_row, row_id=expenses_total_row, row_id=savings_total_row)</f>
        <v>0</v>
      </c>
      <c r="H195" s="5">
        <f t="shared" si="97"/>
        <v>1</v>
      </c>
      <c r="I195" s="4" t="str" cm="1">
        <f t="array" ref="I195">IFERROR(INDEX('Budget Planning'!$C:$C, header_row_id), "")</f>
        <v/>
      </c>
      <c r="J195" t="str" cm="1">
        <f t="array" ref="J195">IFERROR(INDEX('Budget Planning'!$C:$C, row_id), "")</f>
        <v/>
      </c>
      <c r="K195" s="52" t="str" cm="1">
        <f t="array" ref="K195">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5" s="53" t="str" cm="1">
        <f t="array" ref="L195">IF(OR(is_header, is_empty), "", INDEX('Budget Planning'!$E:$EM, row_id, MATCH(IF(selected_period="Total Year", selected_year, DATE(selected_year, selected_period, 1)), 'Budget Planning'!$E$9:$EM$9, 0)))</f>
        <v/>
      </c>
      <c r="M195" s="50" t="str" cm="1">
        <f t="array" ref="M195">IF(is_category, IF(header_row_id=income_header_row, MATCH(income_min_row, $C:$C, 0), IF(header_row_id=expenses_header_row, MATCH(expenses_min_row, $C:$C, 0), IF(header_row_id=savings_header_row, MATCH(savings_min_row, $C:$C, 0), ""))), "")</f>
        <v/>
      </c>
      <c r="N195" s="51" t="str" cm="1">
        <f t="array" ref="N195">IF(is_category, IF(header_row_id=income_header_row, MATCH(income_max_row, $C:$C, 0), IF(header_row_id=expenses_header_row, MATCH(expenses_max_row, $C:$C, 0), IF(header_row_id=savings_header_row, MATCH(savings_max_row, $C:$C, 0), ""))), "")</f>
        <v/>
      </c>
      <c r="O195" s="50" t="str">
        <f t="shared" si="98"/>
        <v/>
      </c>
      <c r="P195" s="49" t="str">
        <f t="shared" ca="1" si="99"/>
        <v/>
      </c>
      <c r="Q195" s="49" t="str">
        <f t="shared" si="100"/>
        <v/>
      </c>
      <c r="R195" s="51" t="str">
        <f t="shared" ca="1" si="101"/>
        <v/>
      </c>
      <c r="S195" s="50" t="str">
        <f t="shared" si="102"/>
        <v/>
      </c>
      <c r="T195" s="49" t="str">
        <f t="shared" si="103"/>
        <v/>
      </c>
      <c r="U195" s="49" t="str">
        <f t="shared" ca="1" si="104"/>
        <v/>
      </c>
      <c r="V195" s="49" t="str">
        <f t="shared" si="105"/>
        <v/>
      </c>
      <c r="W195" s="47" t="str">
        <f t="shared" ca="1" si="106"/>
        <v/>
      </c>
      <c r="X195" s="56">
        <f t="shared" si="107"/>
        <v>-1</v>
      </c>
      <c r="Y195" s="57" t="str">
        <f t="shared" si="108"/>
        <v/>
      </c>
      <c r="Z195" s="59" t="str">
        <f t="shared" si="109"/>
        <v/>
      </c>
      <c r="AA195" s="59" t="str">
        <f t="shared" si="110"/>
        <v/>
      </c>
      <c r="AB195" s="58" t="str">
        <f t="shared" si="111"/>
        <v/>
      </c>
      <c r="AC195" s="59" t="str">
        <f t="shared" si="112"/>
        <v/>
      </c>
      <c r="AD195" s="59" t="str">
        <f t="shared" si="113"/>
        <v/>
      </c>
    </row>
    <row r="196" spans="3:30" x14ac:dyDescent="0.25">
      <c r="C196" s="4" cm="1">
        <f t="array" ref="C196">IF(C195=-1,-1, IF(C195&lt;income_max_row, C195+1, IF(C195=income_max_row, income_total_row, IF(C195=income_total_row, "/1", IF(C195="/1", expenses_header_row, IF(C195&lt;expenses_max_row, C195+1, IF(C195=expenses_max_row, expenses_total_row, IF(C195=expenses_total_row, "/2", IF(C195="/2", savings_header_row, IF(C195&lt;savings_max_row, C195+1, IF(C195=savings_max_row, savings_total_row, -1)))))))))))</f>
        <v>-1</v>
      </c>
      <c r="D196" s="5">
        <f t="shared" si="95"/>
        <v>-1</v>
      </c>
      <c r="E196" s="4" cm="1">
        <f t="array" ref="E196">1*OR(row_id=income_header_row, row_id=expenses_header_row, row_id=savings_header_row)</f>
        <v>0</v>
      </c>
      <c r="F196">
        <f t="shared" si="96"/>
        <v>0</v>
      </c>
      <c r="G196" cm="1">
        <f t="array" ref="G196">1*OR(row_id=income_total_row, row_id=expenses_total_row, row_id=savings_total_row)</f>
        <v>0</v>
      </c>
      <c r="H196" s="5">
        <f t="shared" si="97"/>
        <v>1</v>
      </c>
      <c r="I196" s="4" t="str" cm="1">
        <f t="array" ref="I196">IFERROR(INDEX('Budget Planning'!$C:$C, header_row_id), "")</f>
        <v/>
      </c>
      <c r="J196" t="str" cm="1">
        <f t="array" ref="J196">IFERROR(INDEX('Budget Planning'!$C:$C, row_id), "")</f>
        <v/>
      </c>
      <c r="K196" s="52" t="str" cm="1">
        <f t="array" ref="K196">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6" s="53" t="str" cm="1">
        <f t="array" ref="L196">IF(OR(is_header, is_empty), "", INDEX('Budget Planning'!$E:$EM, row_id, MATCH(IF(selected_period="Total Year", selected_year, DATE(selected_year, selected_period, 1)), 'Budget Planning'!$E$9:$EM$9, 0)))</f>
        <v/>
      </c>
      <c r="M196" s="50" t="str" cm="1">
        <f t="array" ref="M196">IF(is_category, IF(header_row_id=income_header_row, MATCH(income_min_row, $C:$C, 0), IF(header_row_id=expenses_header_row, MATCH(expenses_min_row, $C:$C, 0), IF(header_row_id=savings_header_row, MATCH(savings_min_row, $C:$C, 0), ""))), "")</f>
        <v/>
      </c>
      <c r="N196" s="51" t="str" cm="1">
        <f t="array" ref="N196">IF(is_category, IF(header_row_id=income_header_row, MATCH(income_max_row, $C:$C, 0), IF(header_row_id=expenses_header_row, MATCH(expenses_max_row, $C:$C, 0), IF(header_row_id=savings_header_row, MATCH(savings_max_row, $C:$C, 0), ""))), "")</f>
        <v/>
      </c>
      <c r="O196" s="50" t="str">
        <f t="shared" si="98"/>
        <v/>
      </c>
      <c r="P196" s="49" t="str">
        <f t="shared" ca="1" si="99"/>
        <v/>
      </c>
      <c r="Q196" s="49" t="str">
        <f t="shared" si="100"/>
        <v/>
      </c>
      <c r="R196" s="51" t="str">
        <f t="shared" ca="1" si="101"/>
        <v/>
      </c>
      <c r="S196" s="50" t="str">
        <f t="shared" si="102"/>
        <v/>
      </c>
      <c r="T196" s="49" t="str">
        <f t="shared" si="103"/>
        <v/>
      </c>
      <c r="U196" s="49" t="str">
        <f t="shared" ca="1" si="104"/>
        <v/>
      </c>
      <c r="V196" s="49" t="str">
        <f t="shared" si="105"/>
        <v/>
      </c>
      <c r="W196" s="47" t="str">
        <f t="shared" ca="1" si="106"/>
        <v/>
      </c>
      <c r="X196" s="56">
        <f t="shared" si="107"/>
        <v>-1</v>
      </c>
      <c r="Y196" s="57" t="str">
        <f t="shared" si="108"/>
        <v/>
      </c>
      <c r="Z196" s="59" t="str">
        <f t="shared" si="109"/>
        <v/>
      </c>
      <c r="AA196" s="59" t="str">
        <f t="shared" si="110"/>
        <v/>
      </c>
      <c r="AB196" s="58" t="str">
        <f t="shared" si="111"/>
        <v/>
      </c>
      <c r="AC196" s="59" t="str">
        <f t="shared" si="112"/>
        <v/>
      </c>
      <c r="AD196" s="59" t="str">
        <f t="shared" si="113"/>
        <v/>
      </c>
    </row>
    <row r="197" spans="3:30" x14ac:dyDescent="0.25">
      <c r="C197" s="4" cm="1">
        <f t="array" ref="C197">IF(C196=-1,-1, IF(C196&lt;income_max_row, C196+1, IF(C196=income_max_row, income_total_row, IF(C196=income_total_row, "/1", IF(C196="/1", expenses_header_row, IF(C196&lt;expenses_max_row, C196+1, IF(C196=expenses_max_row, expenses_total_row, IF(C196=expenses_total_row, "/2", IF(C196="/2", savings_header_row, IF(C196&lt;savings_max_row, C196+1, IF(C196=savings_max_row, savings_total_row, -1)))))))))))</f>
        <v>-1</v>
      </c>
      <c r="D197" s="5">
        <f t="shared" si="95"/>
        <v>-1</v>
      </c>
      <c r="E197" s="4" cm="1">
        <f t="array" ref="E197">1*OR(row_id=income_header_row, row_id=expenses_header_row, row_id=savings_header_row)</f>
        <v>0</v>
      </c>
      <c r="F197">
        <f t="shared" si="96"/>
        <v>0</v>
      </c>
      <c r="G197" cm="1">
        <f t="array" ref="G197">1*OR(row_id=income_total_row, row_id=expenses_total_row, row_id=savings_total_row)</f>
        <v>0</v>
      </c>
      <c r="H197" s="5">
        <f t="shared" si="97"/>
        <v>1</v>
      </c>
      <c r="I197" s="4" t="str" cm="1">
        <f t="array" ref="I197">IFERROR(INDEX('Budget Planning'!$C:$C, header_row_id), "")</f>
        <v/>
      </c>
      <c r="J197" t="str" cm="1">
        <f t="array" ref="J197">IFERROR(INDEX('Budget Planning'!$C:$C, row_id), "")</f>
        <v/>
      </c>
      <c r="K197" s="52" t="str" cm="1">
        <f t="array" ref="K197">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7" s="53" t="str" cm="1">
        <f t="array" ref="L197">IF(OR(is_header, is_empty), "", INDEX('Budget Planning'!$E:$EM, row_id, MATCH(IF(selected_period="Total Year", selected_year, DATE(selected_year, selected_period, 1)), 'Budget Planning'!$E$9:$EM$9, 0)))</f>
        <v/>
      </c>
      <c r="M197" s="50" t="str" cm="1">
        <f t="array" ref="M197">IF(is_category, IF(header_row_id=income_header_row, MATCH(income_min_row, $C:$C, 0), IF(header_row_id=expenses_header_row, MATCH(expenses_min_row, $C:$C, 0), IF(header_row_id=savings_header_row, MATCH(savings_min_row, $C:$C, 0), ""))), "")</f>
        <v/>
      </c>
      <c r="N197" s="51" t="str" cm="1">
        <f t="array" ref="N197">IF(is_category, IF(header_row_id=income_header_row, MATCH(income_max_row, $C:$C, 0), IF(header_row_id=expenses_header_row, MATCH(expenses_max_row, $C:$C, 0), IF(header_row_id=savings_header_row, MATCH(savings_max_row, $C:$C, 0), ""))), "")</f>
        <v/>
      </c>
      <c r="O197" s="50" t="str">
        <f t="shared" si="98"/>
        <v/>
      </c>
      <c r="P197" s="49" t="str">
        <f t="shared" ca="1" si="99"/>
        <v/>
      </c>
      <c r="Q197" s="49" t="str">
        <f t="shared" si="100"/>
        <v/>
      </c>
      <c r="R197" s="51" t="str">
        <f t="shared" ca="1" si="101"/>
        <v/>
      </c>
      <c r="S197" s="50" t="str">
        <f t="shared" si="102"/>
        <v/>
      </c>
      <c r="T197" s="49" t="str">
        <f t="shared" si="103"/>
        <v/>
      </c>
      <c r="U197" s="49" t="str">
        <f t="shared" ca="1" si="104"/>
        <v/>
      </c>
      <c r="V197" s="49" t="str">
        <f t="shared" si="105"/>
        <v/>
      </c>
      <c r="W197" s="47" t="str">
        <f t="shared" ca="1" si="106"/>
        <v/>
      </c>
      <c r="X197" s="56">
        <f t="shared" si="107"/>
        <v>-1</v>
      </c>
      <c r="Y197" s="57" t="str">
        <f t="shared" si="108"/>
        <v/>
      </c>
      <c r="Z197" s="59" t="str">
        <f t="shared" si="109"/>
        <v/>
      </c>
      <c r="AA197" s="59" t="str">
        <f t="shared" si="110"/>
        <v/>
      </c>
      <c r="AB197" s="58" t="str">
        <f t="shared" si="111"/>
        <v/>
      </c>
      <c r="AC197" s="59" t="str">
        <f t="shared" si="112"/>
        <v/>
      </c>
      <c r="AD197" s="59" t="str">
        <f t="shared" si="113"/>
        <v/>
      </c>
    </row>
    <row r="198" spans="3:30" x14ac:dyDescent="0.25">
      <c r="C198" s="4" cm="1">
        <f t="array" ref="C198">IF(C197=-1,-1, IF(C197&lt;income_max_row, C197+1, IF(C197=income_max_row, income_total_row, IF(C197=income_total_row, "/1", IF(C197="/1", expenses_header_row, IF(C197&lt;expenses_max_row, C197+1, IF(C197=expenses_max_row, expenses_total_row, IF(C197=expenses_total_row, "/2", IF(C197="/2", savings_header_row, IF(C197&lt;savings_max_row, C197+1, IF(C197=savings_max_row, savings_total_row, -1)))))))))))</f>
        <v>-1</v>
      </c>
      <c r="D198" s="5">
        <f t="shared" si="95"/>
        <v>-1</v>
      </c>
      <c r="E198" s="4" cm="1">
        <f t="array" ref="E198">1*OR(row_id=income_header_row, row_id=expenses_header_row, row_id=savings_header_row)</f>
        <v>0</v>
      </c>
      <c r="F198">
        <f t="shared" si="96"/>
        <v>0</v>
      </c>
      <c r="G198" cm="1">
        <f t="array" ref="G198">1*OR(row_id=income_total_row, row_id=expenses_total_row, row_id=savings_total_row)</f>
        <v>0</v>
      </c>
      <c r="H198" s="5">
        <f t="shared" si="97"/>
        <v>1</v>
      </c>
      <c r="I198" s="4" t="str" cm="1">
        <f t="array" ref="I198">IFERROR(INDEX('Budget Planning'!$C:$C, header_row_id), "")</f>
        <v/>
      </c>
      <c r="J198" t="str" cm="1">
        <f t="array" ref="J198">IFERROR(INDEX('Budget Planning'!$C:$C, row_id), "")</f>
        <v/>
      </c>
      <c r="K198" s="52" t="str" cm="1">
        <f t="array" ref="K198">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8" s="53" t="str" cm="1">
        <f t="array" ref="L198">IF(OR(is_header, is_empty), "", INDEX('Budget Planning'!$E:$EM, row_id, MATCH(IF(selected_period="Total Year", selected_year, DATE(selected_year, selected_period, 1)), 'Budget Planning'!$E$9:$EM$9, 0)))</f>
        <v/>
      </c>
      <c r="M198" s="50" t="str" cm="1">
        <f t="array" ref="M198">IF(is_category, IF(header_row_id=income_header_row, MATCH(income_min_row, $C:$C, 0), IF(header_row_id=expenses_header_row, MATCH(expenses_min_row, $C:$C, 0), IF(header_row_id=savings_header_row, MATCH(savings_min_row, $C:$C, 0), ""))), "")</f>
        <v/>
      </c>
      <c r="N198" s="51" t="str" cm="1">
        <f t="array" ref="N198">IF(is_category, IF(header_row_id=income_header_row, MATCH(income_max_row, $C:$C, 0), IF(header_row_id=expenses_header_row, MATCH(expenses_max_row, $C:$C, 0), IF(header_row_id=savings_header_row, MATCH(savings_max_row, $C:$C, 0), ""))), "")</f>
        <v/>
      </c>
      <c r="O198" s="50" t="str">
        <f t="shared" si="98"/>
        <v/>
      </c>
      <c r="P198" s="49" t="str">
        <f t="shared" ca="1" si="99"/>
        <v/>
      </c>
      <c r="Q198" s="49" t="str">
        <f t="shared" si="100"/>
        <v/>
      </c>
      <c r="R198" s="51" t="str">
        <f t="shared" ca="1" si="101"/>
        <v/>
      </c>
      <c r="S198" s="50" t="str">
        <f t="shared" si="102"/>
        <v/>
      </c>
      <c r="T198" s="49" t="str">
        <f t="shared" si="103"/>
        <v/>
      </c>
      <c r="U198" s="49" t="str">
        <f t="shared" ca="1" si="104"/>
        <v/>
      </c>
      <c r="V198" s="49" t="str">
        <f t="shared" si="105"/>
        <v/>
      </c>
      <c r="W198" s="47" t="str">
        <f t="shared" ca="1" si="106"/>
        <v/>
      </c>
      <c r="X198" s="56">
        <f t="shared" si="107"/>
        <v>-1</v>
      </c>
      <c r="Y198" s="57" t="str">
        <f t="shared" si="108"/>
        <v/>
      </c>
      <c r="Z198" s="59" t="str">
        <f t="shared" si="109"/>
        <v/>
      </c>
      <c r="AA198" s="59" t="str">
        <f t="shared" si="110"/>
        <v/>
      </c>
      <c r="AB198" s="58" t="str">
        <f t="shared" si="111"/>
        <v/>
      </c>
      <c r="AC198" s="59" t="str">
        <f t="shared" si="112"/>
        <v/>
      </c>
      <c r="AD198" s="59" t="str">
        <f t="shared" si="113"/>
        <v/>
      </c>
    </row>
    <row r="199" spans="3:30" x14ac:dyDescent="0.25">
      <c r="C199" s="4" cm="1">
        <f t="array" ref="C199">IF(C198=-1,-1, IF(C198&lt;income_max_row, C198+1, IF(C198=income_max_row, income_total_row, IF(C198=income_total_row, "/1", IF(C198="/1", expenses_header_row, IF(C198&lt;expenses_max_row, C198+1, IF(C198=expenses_max_row, expenses_total_row, IF(C198=expenses_total_row, "/2", IF(C198="/2", savings_header_row, IF(C198&lt;savings_max_row, C198+1, IF(C198=savings_max_row, savings_total_row, -1)))))))))))</f>
        <v>-1</v>
      </c>
      <c r="D199" s="5">
        <f t="shared" si="95"/>
        <v>-1</v>
      </c>
      <c r="E199" s="4" cm="1">
        <f t="array" ref="E199">1*OR(row_id=income_header_row, row_id=expenses_header_row, row_id=savings_header_row)</f>
        <v>0</v>
      </c>
      <c r="F199">
        <f t="shared" si="96"/>
        <v>0</v>
      </c>
      <c r="G199" cm="1">
        <f t="array" ref="G199">1*OR(row_id=income_total_row, row_id=expenses_total_row, row_id=savings_total_row)</f>
        <v>0</v>
      </c>
      <c r="H199" s="5">
        <f t="shared" si="97"/>
        <v>1</v>
      </c>
      <c r="I199" s="4" t="str" cm="1">
        <f t="array" ref="I199">IFERROR(INDEX('Budget Planning'!$C:$C, header_row_id), "")</f>
        <v/>
      </c>
      <c r="J199" t="str" cm="1">
        <f t="array" ref="J199">IFERROR(INDEX('Budget Planning'!$C:$C, row_id), "")</f>
        <v/>
      </c>
      <c r="K199" s="52" t="str" cm="1">
        <f t="array" ref="K199">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9" s="53" t="str" cm="1">
        <f t="array" ref="L199">IF(OR(is_header, is_empty), "", INDEX('Budget Planning'!$E:$EM, row_id, MATCH(IF(selected_period="Total Year", selected_year, DATE(selected_year, selected_period, 1)), 'Budget Planning'!$E$9:$EM$9, 0)))</f>
        <v/>
      </c>
      <c r="M199" s="50" t="str" cm="1">
        <f t="array" ref="M199">IF(is_category, IF(header_row_id=income_header_row, MATCH(income_min_row, $C:$C, 0), IF(header_row_id=expenses_header_row, MATCH(expenses_min_row, $C:$C, 0), IF(header_row_id=savings_header_row, MATCH(savings_min_row, $C:$C, 0), ""))), "")</f>
        <v/>
      </c>
      <c r="N199" s="51" t="str" cm="1">
        <f t="array" ref="N199">IF(is_category, IF(header_row_id=income_header_row, MATCH(income_max_row, $C:$C, 0), IF(header_row_id=expenses_header_row, MATCH(expenses_max_row, $C:$C, 0), IF(header_row_id=savings_header_row, MATCH(savings_max_row, $C:$C, 0), ""))), "")</f>
        <v/>
      </c>
      <c r="O199" s="50" t="str">
        <f t="shared" si="98"/>
        <v/>
      </c>
      <c r="P199" s="49" t="str">
        <f t="shared" ca="1" si="99"/>
        <v/>
      </c>
      <c r="Q199" s="49" t="str">
        <f t="shared" si="100"/>
        <v/>
      </c>
      <c r="R199" s="51" t="str">
        <f t="shared" ca="1" si="101"/>
        <v/>
      </c>
      <c r="S199" s="50" t="str">
        <f t="shared" si="102"/>
        <v/>
      </c>
      <c r="T199" s="49" t="str">
        <f t="shared" si="103"/>
        <v/>
      </c>
      <c r="U199" s="49" t="str">
        <f t="shared" ca="1" si="104"/>
        <v/>
      </c>
      <c r="V199" s="49" t="str">
        <f t="shared" si="105"/>
        <v/>
      </c>
      <c r="W199" s="47" t="str">
        <f t="shared" ca="1" si="106"/>
        <v/>
      </c>
      <c r="X199" s="56">
        <f t="shared" si="107"/>
        <v>-1</v>
      </c>
      <c r="Y199" s="57" t="str">
        <f t="shared" si="108"/>
        <v/>
      </c>
      <c r="Z199" s="59" t="str">
        <f t="shared" si="109"/>
        <v/>
      </c>
      <c r="AA199" s="59" t="str">
        <f t="shared" si="110"/>
        <v/>
      </c>
      <c r="AB199" s="58" t="str">
        <f t="shared" si="111"/>
        <v/>
      </c>
      <c r="AC199" s="59" t="str">
        <f t="shared" si="112"/>
        <v/>
      </c>
      <c r="AD199" s="59" t="str">
        <f t="shared" si="113"/>
        <v/>
      </c>
    </row>
    <row r="200" spans="3:30" x14ac:dyDescent="0.25">
      <c r="C200" s="4" cm="1">
        <f t="array" ref="C200">IF(C199=-1,-1, IF(C199&lt;income_max_row, C199+1, IF(C199=income_max_row, income_total_row, IF(C199=income_total_row, "/1", IF(C199="/1", expenses_header_row, IF(C199&lt;expenses_max_row, C199+1, IF(C199=expenses_max_row, expenses_total_row, IF(C199=expenses_total_row, "/2", IF(C199="/2", savings_header_row, IF(C199&lt;savings_max_row, C199+1, IF(C199=savings_max_row, savings_total_row, -1)))))))))))</f>
        <v>-1</v>
      </c>
      <c r="D200" s="5">
        <f t="shared" si="95"/>
        <v>-1</v>
      </c>
      <c r="E200" s="4" cm="1">
        <f t="array" ref="E200">1*OR(row_id=income_header_row, row_id=expenses_header_row, row_id=savings_header_row)</f>
        <v>0</v>
      </c>
      <c r="F200">
        <f t="shared" si="96"/>
        <v>0</v>
      </c>
      <c r="G200" cm="1">
        <f t="array" ref="G200">1*OR(row_id=income_total_row, row_id=expenses_total_row, row_id=savings_total_row)</f>
        <v>0</v>
      </c>
      <c r="H200" s="5">
        <f t="shared" si="97"/>
        <v>1</v>
      </c>
      <c r="I200" s="4" t="str" cm="1">
        <f t="array" ref="I200">IFERROR(INDEX('Budget Planning'!$C:$C, header_row_id), "")</f>
        <v/>
      </c>
      <c r="J200" t="str" cm="1">
        <f t="array" ref="J200">IFERROR(INDEX('Budget Planning'!$C:$C, row_id), "")</f>
        <v/>
      </c>
      <c r="K200" s="52" t="str" cm="1">
        <f t="array" ref="K200">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00" s="53" t="str" cm="1">
        <f t="array" ref="L200">IF(OR(is_header, is_empty), "", INDEX('Budget Planning'!$E:$EM, row_id, MATCH(IF(selected_period="Total Year", selected_year, DATE(selected_year, selected_period, 1)), 'Budget Planning'!$E$9:$EM$9, 0)))</f>
        <v/>
      </c>
      <c r="M200" s="50" t="str" cm="1">
        <f t="array" ref="M200">IF(is_category, IF(header_row_id=income_header_row, MATCH(income_min_row, $C:$C, 0), IF(header_row_id=expenses_header_row, MATCH(expenses_min_row, $C:$C, 0), IF(header_row_id=savings_header_row, MATCH(savings_min_row, $C:$C, 0), ""))), "")</f>
        <v/>
      </c>
      <c r="N200" s="51" t="str" cm="1">
        <f t="array" ref="N200">IF(is_category, IF(header_row_id=income_header_row, MATCH(income_max_row, $C:$C, 0), IF(header_row_id=expenses_header_row, MATCH(expenses_max_row, $C:$C, 0), IF(header_row_id=savings_header_row, MATCH(savings_max_row, $C:$C, 0), ""))), "")</f>
        <v/>
      </c>
      <c r="O200" s="50" t="str">
        <f t="shared" si="98"/>
        <v/>
      </c>
      <c r="P200" s="49" t="str">
        <f t="shared" ca="1" si="99"/>
        <v/>
      </c>
      <c r="Q200" s="49" t="str">
        <f t="shared" si="100"/>
        <v/>
      </c>
      <c r="R200" s="51" t="str">
        <f t="shared" ca="1" si="101"/>
        <v/>
      </c>
      <c r="S200" s="50" t="str">
        <f t="shared" si="102"/>
        <v/>
      </c>
      <c r="T200" s="49" t="str">
        <f t="shared" si="103"/>
        <v/>
      </c>
      <c r="U200" s="49" t="str">
        <f t="shared" ca="1" si="104"/>
        <v/>
      </c>
      <c r="V200" s="49" t="str">
        <f t="shared" si="105"/>
        <v/>
      </c>
      <c r="W200" s="47" t="str">
        <f t="shared" ca="1" si="106"/>
        <v/>
      </c>
      <c r="X200" s="56">
        <f t="shared" si="107"/>
        <v>-1</v>
      </c>
      <c r="Y200" s="57" t="str">
        <f t="shared" si="108"/>
        <v/>
      </c>
      <c r="Z200" s="59" t="str">
        <f t="shared" si="109"/>
        <v/>
      </c>
      <c r="AA200" s="59" t="str">
        <f t="shared" si="110"/>
        <v/>
      </c>
      <c r="AB200" s="58" t="str">
        <f t="shared" si="111"/>
        <v/>
      </c>
      <c r="AC200" s="59" t="str">
        <f t="shared" si="112"/>
        <v/>
      </c>
      <c r="AD200" s="59" t="str">
        <f t="shared" si="113"/>
        <v/>
      </c>
    </row>
  </sheetData>
  <mergeCells count="8">
    <mergeCell ref="Y11:AD11"/>
    <mergeCell ref="AF11:AR11"/>
    <mergeCell ref="AQ5:AR5"/>
    <mergeCell ref="AQ6:AR6"/>
    <mergeCell ref="AN6:AP6"/>
    <mergeCell ref="AQ8:AR8"/>
    <mergeCell ref="AN9:AP9"/>
    <mergeCell ref="AQ9:AR9"/>
  </mergeCells>
  <conditionalFormatting sqref="Y13:AD200">
    <cfRule type="expression" dxfId="29" priority="19" stopIfTrue="1">
      <formula>row_id=income_header_row</formula>
    </cfRule>
    <cfRule type="expression" dxfId="28" priority="20" stopIfTrue="1">
      <formula>row_id=expenses_header_row</formula>
    </cfRule>
    <cfRule type="expression" dxfId="27" priority="21" stopIfTrue="1">
      <formula>row_id=savings_header_row</formula>
    </cfRule>
    <cfRule type="expression" dxfId="26" priority="22">
      <formula>is_total</formula>
    </cfRule>
  </conditionalFormatting>
  <conditionalFormatting sqref="AB13:AB200">
    <cfRule type="expression" dxfId="25" priority="23" stopIfTrue="1">
      <formula>AND(OR(is_category, is_total), out_budget &gt; 0, out_percentage_completed &gt;= 1, header_row_id=income_header_row)</formula>
    </cfRule>
    <cfRule type="expression" dxfId="24" priority="24" stopIfTrue="1">
      <formula>AND(OR(is_category, is_total), out_budget &gt; 0, out_percentage_completed &gt;= 1, header_row_id=expenses_header_row)</formula>
    </cfRule>
    <cfRule type="expression" dxfId="23" priority="25" stopIfTrue="1">
      <formula>AND(OR(is_category, is_total), out_budget &gt; 0, out_percentage_completed &gt;= 1, header_row_id=savings_header_row)</formula>
    </cfRule>
    <cfRule type="dataBar" priority="26">
      <dataBar>
        <cfvo type="num" val="0"/>
        <cfvo type="num" val="1"/>
        <color theme="0" tint="-0.14999847407452621"/>
      </dataBar>
      <extLst>
        <ext xmlns:x14="http://schemas.microsoft.com/office/spreadsheetml/2009/9/main" uri="{B025F937-C7B1-47D3-B67F-A62EFF666E3E}">
          <x14:id>{FA8A393E-2368-47F0-A1FD-04DBF5EECDB6}</x14:id>
        </ext>
      </extLst>
    </cfRule>
  </conditionalFormatting>
  <conditionalFormatting sqref="AH16">
    <cfRule type="expression" dxfId="22" priority="13">
      <formula>AI16&lt;&gt;""</formula>
    </cfRule>
  </conditionalFormatting>
  <conditionalFormatting sqref="AH17">
    <cfRule type="expression" dxfId="21" priority="14">
      <formula>AI17&lt;&gt;""</formula>
    </cfRule>
  </conditionalFormatting>
  <conditionalFormatting sqref="AH18">
    <cfRule type="expression" dxfId="20" priority="15">
      <formula>AI18&lt;&gt;""</formula>
    </cfRule>
  </conditionalFormatting>
  <conditionalFormatting sqref="AH19">
    <cfRule type="expression" dxfId="19" priority="16">
      <formula>AI19&lt;&gt;""</formula>
    </cfRule>
  </conditionalFormatting>
  <conditionalFormatting sqref="AH20">
    <cfRule type="expression" dxfId="18" priority="17">
      <formula>AI20&lt;&gt;""</formula>
    </cfRule>
  </conditionalFormatting>
  <conditionalFormatting sqref="AH21">
    <cfRule type="expression" dxfId="17" priority="18">
      <formula>AI21&lt;&gt;""</formula>
    </cfRule>
  </conditionalFormatting>
  <conditionalFormatting sqref="AH29">
    <cfRule type="expression" dxfId="16" priority="7">
      <formula>AI29&lt;&gt;""</formula>
    </cfRule>
  </conditionalFormatting>
  <conditionalFormatting sqref="AH30">
    <cfRule type="expression" dxfId="15" priority="8">
      <formula>AI30&lt;&gt;""</formula>
    </cfRule>
  </conditionalFormatting>
  <conditionalFormatting sqref="AH31">
    <cfRule type="expression" dxfId="14" priority="9">
      <formula>AI31&lt;&gt;""</formula>
    </cfRule>
  </conditionalFormatting>
  <conditionalFormatting sqref="AH32">
    <cfRule type="expression" dxfId="13" priority="10">
      <formula>AI32&lt;&gt;""</formula>
    </cfRule>
  </conditionalFormatting>
  <conditionalFormatting sqref="AH33">
    <cfRule type="expression" dxfId="12" priority="11">
      <formula>AI33&lt;&gt;""</formula>
    </cfRule>
  </conditionalFormatting>
  <conditionalFormatting sqref="AH34">
    <cfRule type="expression" dxfId="11" priority="12">
      <formula>AI34&lt;&gt;""</formula>
    </cfRule>
  </conditionalFormatting>
  <conditionalFormatting sqref="AO29">
    <cfRule type="expression" dxfId="10" priority="1">
      <formula>AP29&lt;&gt;""</formula>
    </cfRule>
  </conditionalFormatting>
  <conditionalFormatting sqref="AO30">
    <cfRule type="expression" dxfId="9" priority="2">
      <formula>AP30&lt;&gt;""</formula>
    </cfRule>
  </conditionalFormatting>
  <conditionalFormatting sqref="AO31">
    <cfRule type="expression" dxfId="8" priority="3">
      <formula>AP31&lt;&gt;""</formula>
    </cfRule>
  </conditionalFormatting>
  <conditionalFormatting sqref="AO32">
    <cfRule type="expression" dxfId="7" priority="4">
      <formula>AP32&lt;&gt;""</formula>
    </cfRule>
  </conditionalFormatting>
  <conditionalFormatting sqref="AO33">
    <cfRule type="expression" dxfId="6" priority="5">
      <formula>AP33&lt;&gt;""</formula>
    </cfRule>
  </conditionalFormatting>
  <conditionalFormatting sqref="AO34">
    <cfRule type="expression" dxfId="5" priority="6">
      <formula>AP34&lt;&gt;""</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2" r:id="rId3" name="Check Box 6">
              <controlPr defaultSize="0" autoFill="0" autoLine="0" autoPict="0">
                <anchor moveWithCells="1">
                  <from>
                    <xdr:col>40</xdr:col>
                    <xdr:colOff>66675</xdr:colOff>
                    <xdr:row>12</xdr:row>
                    <xdr:rowOff>76200</xdr:rowOff>
                  </from>
                  <to>
                    <xdr:col>42</xdr:col>
                    <xdr:colOff>342900</xdr:colOff>
                    <xdr:row>13</xdr:row>
                    <xdr:rowOff>114300</xdr:rowOff>
                  </to>
                </anchor>
              </controlPr>
            </control>
          </mc:Choice>
        </mc:AlternateContent>
        <mc:AlternateContent xmlns:mc="http://schemas.openxmlformats.org/markup-compatibility/2006">
          <mc:Choice Requires="x14">
            <control shapeId="4103" r:id="rId4" name="Check Box 7">
              <controlPr defaultSize="0" autoFill="0" autoLine="0" autoPict="0">
                <anchor moveWithCells="1">
                  <from>
                    <xdr:col>40</xdr:col>
                    <xdr:colOff>66675</xdr:colOff>
                    <xdr:row>13</xdr:row>
                    <xdr:rowOff>57150</xdr:rowOff>
                  </from>
                  <to>
                    <xdr:col>42</xdr:col>
                    <xdr:colOff>352425</xdr:colOff>
                    <xdr:row>14</xdr:row>
                    <xdr:rowOff>95250</xdr:rowOff>
                  </to>
                </anchor>
              </controlPr>
            </control>
          </mc:Choice>
        </mc:AlternateContent>
        <mc:AlternateContent xmlns:mc="http://schemas.openxmlformats.org/markup-compatibility/2006">
          <mc:Choice Requires="x14">
            <control shapeId="4104" r:id="rId5" name="Check Box 8">
              <controlPr defaultSize="0" autoFill="0" autoLine="0" autoPict="0">
                <anchor moveWithCells="1">
                  <from>
                    <xdr:col>40</xdr:col>
                    <xdr:colOff>66675</xdr:colOff>
                    <xdr:row>14</xdr:row>
                    <xdr:rowOff>38100</xdr:rowOff>
                  </from>
                  <to>
                    <xdr:col>42</xdr:col>
                    <xdr:colOff>352425</xdr:colOff>
                    <xdr:row>15</xdr:row>
                    <xdr:rowOff>38100</xdr:rowOff>
                  </to>
                </anchor>
              </controlPr>
            </control>
          </mc:Choice>
        </mc:AlternateContent>
        <mc:AlternateContent xmlns:mc="http://schemas.openxmlformats.org/markup-compatibility/2006">
          <mc:Choice Requires="x14">
            <control shapeId="4105" r:id="rId6" name="Check Box 9">
              <controlPr defaultSize="0" autoFill="0" autoLine="0" autoPict="0">
                <anchor moveWithCells="1">
                  <from>
                    <xdr:col>41</xdr:col>
                    <xdr:colOff>752475</xdr:colOff>
                    <xdr:row>13</xdr:row>
                    <xdr:rowOff>76200</xdr:rowOff>
                  </from>
                  <to>
                    <xdr:col>44</xdr:col>
                    <xdr:colOff>180975</xdr:colOff>
                    <xdr:row>14</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FA8A393E-2368-47F0-A1FD-04DBF5EECDB6}">
            <x14:dataBar minLength="0" maxLength="100" gradient="0">
              <x14:cfvo type="num">
                <xm:f>0</xm:f>
              </x14:cfvo>
              <x14:cfvo type="num">
                <xm:f>1</xm:f>
              </x14:cfvo>
              <x14:negativeFillColor rgb="FFFF0000"/>
              <x14:axisColor rgb="FF000000"/>
            </x14:dataBar>
          </x14:cfRule>
          <xm:sqref>AB13:AB200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6E533AA3-71A9-4837-826F-82FB29178496}">
          <x14:formula1>
            <xm:f>'Dropdown Data'!$C$8:$C$19</xm:f>
          </x14:formula1>
          <xm:sqref>AQ6:AR6</xm:sqref>
        </x14:dataValidation>
        <x14:dataValidation type="list" allowBlank="1" showInputMessage="1" showErrorMessage="1" xr:uid="{0CA0FC49-835E-4BF7-AF85-B534D546CA07}">
          <x14:formula1>
            <xm:f>'Dropdown Data'!$E$8:$E$21</xm:f>
          </x14:formula1>
          <xm:sqref>AQ9:AR9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4D772-55B5-4672-A7A3-6873C2A08783}">
  <sheetPr>
    <tabColor theme="5"/>
  </sheetPr>
  <dimension ref="C1:R102"/>
  <sheetViews>
    <sheetView showGridLines="0" zoomScale="68" zoomScaleNormal="115" workbookViewId="0">
      <selection activeCell="P45" sqref="P45"/>
    </sheetView>
  </sheetViews>
  <sheetFormatPr defaultRowHeight="15" x14ac:dyDescent="0.25"/>
  <cols>
    <col min="1" max="1" width="4.5703125" customWidth="1"/>
    <col min="2" max="2" width="1.7109375" customWidth="1"/>
    <col min="3" max="3" width="2.85546875" customWidth="1"/>
    <col min="4" max="4" width="29.140625" customWidth="1"/>
    <col min="5" max="5" width="28.42578125" customWidth="1"/>
    <col min="6" max="6" width="11.140625" customWidth="1"/>
    <col min="7" max="7" width="8.5703125" customWidth="1"/>
    <col min="8" max="8" width="29.140625" customWidth="1"/>
    <col min="9" max="9" width="26.42578125" customWidth="1"/>
    <col min="10" max="10" width="8.5703125" customWidth="1"/>
    <col min="11" max="11" width="8.7109375" customWidth="1"/>
    <col min="12" max="12" width="29.140625" customWidth="1"/>
    <col min="13" max="13" width="28.28515625" customWidth="1"/>
    <col min="14" max="14" width="12" customWidth="1"/>
    <col min="15" max="15" width="13.42578125" customWidth="1"/>
    <col min="16" max="16" width="28.28515625" customWidth="1"/>
    <col min="17" max="17" width="12" customWidth="1"/>
    <col min="18" max="18" width="13.42578125" customWidth="1"/>
  </cols>
  <sheetData>
    <row r="1" spans="3:6" s="31" customFormat="1" ht="7.5" customHeight="1" x14ac:dyDescent="0.25"/>
    <row r="2" spans="3:6" s="31" customFormat="1" ht="25.5" customHeight="1" x14ac:dyDescent="0.25"/>
    <row r="3" spans="3:6" s="31" customFormat="1" ht="7.5" customHeight="1" x14ac:dyDescent="0.25"/>
    <row r="6" spans="3:6" x14ac:dyDescent="0.25">
      <c r="C6" s="68" t="s">
        <v>42</v>
      </c>
      <c r="D6" s="68"/>
      <c r="E6" s="68"/>
      <c r="F6" s="68"/>
    </row>
    <row r="8" spans="3:6" x14ac:dyDescent="0.25">
      <c r="D8" s="8" t="s">
        <v>43</v>
      </c>
      <c r="E8" s="32" cm="1">
        <f t="array" aca="1" ref="E8" ca="1">current_date</f>
        <v>45723</v>
      </c>
    </row>
    <row r="9" spans="3:6" x14ac:dyDescent="0.25">
      <c r="D9" s="8" t="s">
        <v>44</v>
      </c>
      <c r="E9" s="32">
        <f>MAX(Tracking[[Date ]])</f>
        <v>45731</v>
      </c>
    </row>
    <row r="10" spans="3:6" x14ac:dyDescent="0.25">
      <c r="D10" s="8" t="s">
        <v>45</v>
      </c>
      <c r="E10" t="str">
        <f ca="1">IF(E9=0, "", "(" &amp; _xlfn.DAYS(E8,E9) &amp; " days ago)")</f>
        <v>(-8 days ago)</v>
      </c>
    </row>
    <row r="11" spans="3:6" x14ac:dyDescent="0.25">
      <c r="D11" s="8" t="s">
        <v>46</v>
      </c>
      <c r="E11">
        <f>COUNT(Tracking[[Date ]])</f>
        <v>59</v>
      </c>
    </row>
    <row r="12" spans="3:6" x14ac:dyDescent="0.25">
      <c r="D12" s="8" t="s">
        <v>47</v>
      </c>
      <c r="E12" t="str" cm="1">
        <f t="array" aca="1" ref="E12" ca="1">"(" &amp; SUMPRODUCT(--(YEAR(Tracking[[Date ]])=YEAR(current_date))) &amp; " this year)"</f>
        <v>(58 this year)</v>
      </c>
    </row>
    <row r="13" spans="3:6" x14ac:dyDescent="0.25">
      <c r="D13" s="8" t="s">
        <v>48</v>
      </c>
      <c r="E13" s="108">
        <f>_xlfn.IFNA(INDEX(Tracking[Balance], MATCH(Calculations!E9, Tracking[[Date ]],0)), "-")</f>
        <v>2620</v>
      </c>
    </row>
    <row r="14" spans="3:6" x14ac:dyDescent="0.25">
      <c r="D14" s="8" t="s">
        <v>49</v>
      </c>
      <c r="E14" t="str">
        <f>IF(E13&gt;=0, "of tracked income left to be allocated", "allocated but NOT covered by income")</f>
        <v>of tracked income left to be allocated</v>
      </c>
    </row>
    <row r="15" spans="3:6" x14ac:dyDescent="0.25">
      <c r="D15" s="8"/>
    </row>
    <row r="17" spans="3:14" x14ac:dyDescent="0.25">
      <c r="C17" s="68" t="s">
        <v>59</v>
      </c>
      <c r="D17" s="68"/>
      <c r="E17" s="68"/>
      <c r="F17" s="68"/>
    </row>
    <row r="19" spans="3:14" x14ac:dyDescent="0.25">
      <c r="D19" s="8" t="s">
        <v>60</v>
      </c>
      <c r="E19" cm="1">
        <f t="array" aca="1" ref="E19" ca="1">IF('Budget Dashboard'!$AQ$6="Current Year", YEAR(current_date), 'Budget Dashboard'!$AQ$6)</f>
        <v>2025</v>
      </c>
    </row>
    <row r="20" spans="3:14" x14ac:dyDescent="0.25">
      <c r="D20" s="38" t="s">
        <v>61</v>
      </c>
      <c r="E20" s="98" t="str" cm="1">
        <f t="array" ref="E20">IF('Budget Dashboard'!$AQ$9="Total Year", "Total Year", IF('Budget Dashboard'!$AQ$9="Current Month", MONTH(current_date), MONTH('Budget Dashboard'!$AQ$9)))</f>
        <v>Total Year</v>
      </c>
    </row>
    <row r="21" spans="3:14" x14ac:dyDescent="0.25">
      <c r="D21" s="8" t="s">
        <v>62</v>
      </c>
      <c r="E21" s="39" t="str">
        <f>IF(selected_period="Total Year", "Total Year", TEXT(DATE(selected_year, selected_period, 1), "mmmm"))</f>
        <v>Total Year</v>
      </c>
    </row>
    <row r="22" spans="3:14" x14ac:dyDescent="0.25">
      <c r="D22" s="8" t="s">
        <v>104</v>
      </c>
      <c r="E22">
        <f ca="1">IF(selected_period="Total Year", DATE(selected_year, 12, 31) - DATE(selected_year-1, 12, 31), DAY(EOMONTH(DATE(selected_year, selected_period, 1), 0)))</f>
        <v>365</v>
      </c>
    </row>
    <row r="23" spans="3:14" x14ac:dyDescent="0.25">
      <c r="D23" s="8" t="s">
        <v>105</v>
      </c>
      <c r="E23" cm="1">
        <f t="array" aca="1" ref="E23" ca="1">IF(selected_year=YEAR(current_date), IF(selected_period="Total Year", current_date-DATE(selected_year-1, 12, 31), IF(selected_period=MONTH(current_date), DAY(current_date), IF(selected_period&lt;MONTH(current_date), E22, 0))), IF(selected_year&lt;YEAR(current_date), E22, 0))</f>
        <v>66</v>
      </c>
    </row>
    <row r="24" spans="3:14" x14ac:dyDescent="0.25">
      <c r="D24" s="8" t="s">
        <v>106</v>
      </c>
      <c r="E24" s="99">
        <f ca="1">E23/E22</f>
        <v>0.18082191780821918</v>
      </c>
    </row>
    <row r="25" spans="3:14" x14ac:dyDescent="0.25">
      <c r="D25" s="8" t="s">
        <v>107</v>
      </c>
      <c r="E25" s="108">
        <f ca="1">F41-(J41+N41)</f>
        <v>2620</v>
      </c>
    </row>
    <row r="26" spans="3:14" x14ac:dyDescent="0.25">
      <c r="D26" s="8" t="s">
        <v>49</v>
      </c>
      <c r="E26" t="str">
        <f ca="1">IF(E25&gt;=0, "of tracked income left to be allocated", "allocated but NOT covered by income")</f>
        <v>of tracked income left to be allocated</v>
      </c>
    </row>
    <row r="27" spans="3:14" x14ac:dyDescent="0.25">
      <c r="D27" s="8" t="s">
        <v>114</v>
      </c>
      <c r="E27" s="101">
        <f ca="1">IFERROR(IF(savings_rate_calculation_type="% allocated to Savings", N41/F41, (F41-J41)/F41), "-")</f>
        <v>0.22720588235294117</v>
      </c>
    </row>
    <row r="32" spans="3:14" x14ac:dyDescent="0.25">
      <c r="D32" s="74" t="s">
        <v>85</v>
      </c>
      <c r="E32" s="73"/>
      <c r="F32" s="73"/>
      <c r="G32" s="73"/>
      <c r="H32" s="73"/>
      <c r="I32" s="73"/>
      <c r="J32" s="73"/>
      <c r="K32" s="73"/>
      <c r="L32" s="73"/>
      <c r="M32" s="73"/>
      <c r="N32" s="73"/>
    </row>
    <row r="34" spans="4:14" x14ac:dyDescent="0.25">
      <c r="D34" s="75" t="s">
        <v>4</v>
      </c>
      <c r="E34" s="75" t="s">
        <v>29</v>
      </c>
      <c r="F34" s="75" t="s">
        <v>30</v>
      </c>
      <c r="H34" s="75" t="s">
        <v>8</v>
      </c>
      <c r="I34" s="75" t="s">
        <v>29</v>
      </c>
      <c r="J34" s="75" t="s">
        <v>30</v>
      </c>
      <c r="L34" s="75" t="s">
        <v>13</v>
      </c>
      <c r="M34" s="75" t="s">
        <v>29</v>
      </c>
      <c r="N34" s="75" t="s">
        <v>30</v>
      </c>
    </row>
    <row r="35" spans="4:14" x14ac:dyDescent="0.25">
      <c r="D35" s="76">
        <v>1</v>
      </c>
      <c r="E35" s="76" t="str" cm="1">
        <f t="array" aca="1" ref="E35" ca="1">IF(F35="", "", INDEX('Budget Dashboard'!$J:$J, MATCH(income_header_row + Calculations!D35, 'Budget Dashboard'!$X:$X, 0)))</f>
        <v>Employment (Net)</v>
      </c>
      <c r="F35" s="79" cm="1">
        <f t="array" aca="1" ref="F35" ca="1">IF(D35&gt;COUNTA(Income[]), "", IF(INDEX('Budget Dashboard'!$K:$K, MATCH(income_header_row + Calculations!D35, 'Budget Dashboard'!$X:$X, 0))=0, "", INDEX('Budget Dashboard'!$K:$K, MATCH(income_header_row + Calculations!D35, 'Budget Dashboard'!$X:$X, 0))))</f>
        <v>10500</v>
      </c>
      <c r="H35" s="76">
        <v>1</v>
      </c>
      <c r="I35" s="76" t="str" cm="1">
        <f t="array" aca="1" ref="I35" ca="1">IF(J35="", "", INDEX('Budget Dashboard'!$J:$J, MATCH(expenses_header_row + Calculations!H35, 'Budget Dashboard'!$X:$X, 0)))</f>
        <v>Housing</v>
      </c>
      <c r="J35" s="79" cm="1">
        <f t="array" aca="1" ref="J35" ca="1">IF(H35&gt;COUNTA(Expenses[]), "", IF(INDEX('Budget Dashboard'!$K:$K, MATCH(expenses_header_row + Calculations!H35, 'Budget Dashboard'!$X:$X, 0))=0, "", INDEX('Budget Dashboard'!$K:$K, MATCH(expenses_header_row + Calculations!H35, 'Budget Dashboard'!$X:$X, 0))))</f>
        <v>3600</v>
      </c>
      <c r="L35" s="76">
        <v>1</v>
      </c>
      <c r="M35" s="76" t="str" cm="1">
        <f t="array" aca="1" ref="M35" ca="1">IF(N35="", "", INDEX('Budget Dashboard'!$J:$J, MATCH(savings_header_row + Calculations!L35, 'Budget Dashboard'!$X:$X, 0)))</f>
        <v>Emergency Fund</v>
      </c>
      <c r="N35" s="79" cm="1">
        <f t="array" aca="1" ref="N35" ca="1">IF(L35&gt;COUNTA(Savings[]), "", IF(INDEX('Budget Dashboard'!$K:$K, MATCH(savings_header_row + Calculations!L35, 'Budget Dashboard'!$X:$X, 0))=0, "", INDEX('Budget Dashboard'!$K:$K, MATCH(savings_header_row + Calculations!L35, 'Budget Dashboard'!$X:$X, 0))))</f>
        <v>1140</v>
      </c>
    </row>
    <row r="36" spans="4:14" x14ac:dyDescent="0.25">
      <c r="D36" s="76">
        <v>2</v>
      </c>
      <c r="E36" s="76" t="str" cm="1">
        <f t="array" aca="1" ref="E36" ca="1">IF(F36="", "", INDEX('Budget Dashboard'!$J:$J, MATCH(income_header_row + Calculations!D36, 'Budget Dashboard'!$X:$X, 0)))</f>
        <v>Side Hustle (Net)</v>
      </c>
      <c r="F36" s="79" cm="1">
        <f t="array" aca="1" ref="F36" ca="1">IF(D36&gt;COUNTA(Income[]), "", IF(INDEX('Budget Dashboard'!$K:$K, MATCH(income_header_row + Calculations!D36, 'Budget Dashboard'!$X:$X, 0))=0, "", INDEX('Budget Dashboard'!$K:$K, MATCH(income_header_row + Calculations!D36, 'Budget Dashboard'!$X:$X, 0))))</f>
        <v>2800</v>
      </c>
      <c r="H36" s="76">
        <v>2</v>
      </c>
      <c r="I36" s="76" t="str" cm="1">
        <f t="array" aca="1" ref="I36" ca="1">IF(J36="", "", INDEX('Budget Dashboard'!$J:$J, MATCH(expenses_header_row + Calculations!H36, 'Budget Dashboard'!$X:$X, 0)))</f>
        <v>Groceries</v>
      </c>
      <c r="J36" s="79" cm="1">
        <f t="array" aca="1" ref="J36" ca="1">IF(H36&gt;COUNTA(Expenses[]), "", IF(INDEX('Budget Dashboard'!$K:$K, MATCH(expenses_header_row + Calculations!H36, 'Budget Dashboard'!$X:$X, 0))=0, "", INDEX('Budget Dashboard'!$K:$K, MATCH(expenses_header_row + Calculations!H36, 'Budget Dashboard'!$X:$X, 0))))</f>
        <v>900</v>
      </c>
      <c r="L36" s="76">
        <v>2</v>
      </c>
      <c r="M36" s="76" t="str" cm="1">
        <f t="array" aca="1" ref="M36" ca="1">IF(N36="", "", INDEX('Budget Dashboard'!$J:$J, MATCH(savings_header_row + Calculations!L36, 'Budget Dashboard'!$X:$X, 0)))</f>
        <v>Retirement Account</v>
      </c>
      <c r="N36" s="79" cm="1">
        <f t="array" aca="1" ref="N36" ca="1">IF(L36&gt;COUNTA(Savings[]), "", IF(INDEX('Budget Dashboard'!$K:$K, MATCH(savings_header_row + Calculations!L36, 'Budget Dashboard'!$X:$X, 0))=0, "", INDEX('Budget Dashboard'!$K:$K, MATCH(savings_header_row + Calculations!L36, 'Budget Dashboard'!$X:$X, 0))))</f>
        <v>800</v>
      </c>
    </row>
    <row r="37" spans="4:14" x14ac:dyDescent="0.25">
      <c r="D37" s="76">
        <v>3</v>
      </c>
      <c r="E37" s="76" t="str" cm="1">
        <f t="array" aca="1" ref="E37" ca="1">IF(F37="", "", INDEX('Budget Dashboard'!$J:$J, MATCH(income_header_row + Calculations!D37, 'Budget Dashboard'!$X:$X, 0)))</f>
        <v>Dividends</v>
      </c>
      <c r="F37" s="79" cm="1">
        <f t="array" aca="1" ref="F37" ca="1">IF(D37&gt;COUNTA(Income[]), "", IF(INDEX('Budget Dashboard'!$K:$K, MATCH(income_header_row + Calculations!D37, 'Budget Dashboard'!$X:$X, 0))=0, "", INDEX('Budget Dashboard'!$K:$K, MATCH(income_header_row + Calculations!D37, 'Budget Dashboard'!$X:$X, 0))))</f>
        <v>300</v>
      </c>
      <c r="H37" s="76">
        <v>3</v>
      </c>
      <c r="I37" s="76" t="str" cm="1">
        <f t="array" aca="1" ref="I37" ca="1">IF(J37="", "", INDEX('Budget Dashboard'!$J:$J, MATCH(expenses_header_row + Calculations!H37, 'Budget Dashboard'!$X:$X, 0)))</f>
        <v>Utilites</v>
      </c>
      <c r="J37" s="79" cm="1">
        <f t="array" aca="1" ref="J37" ca="1">IF(H37&gt;COUNTA(Expenses[]), "", IF(INDEX('Budget Dashboard'!$K:$K, MATCH(expenses_header_row + Calculations!H37, 'Budget Dashboard'!$X:$X, 0))=0, "", INDEX('Budget Dashboard'!$K:$K, MATCH(expenses_header_row + Calculations!H37, 'Budget Dashboard'!$X:$X, 0))))</f>
        <v>900</v>
      </c>
      <c r="L37" s="76">
        <v>3</v>
      </c>
      <c r="M37" s="76" t="str" cm="1">
        <f t="array" aca="1" ref="M37" ca="1">IF(N37="", "", INDEX('Budget Dashboard'!$J:$J, MATCH(savings_header_row + Calculations!L37, 'Budget Dashboard'!$X:$X, 0)))</f>
        <v>Stock Portfolio</v>
      </c>
      <c r="N37" s="79" cm="1">
        <f t="array" aca="1" ref="N37" ca="1">IF(L37&gt;COUNTA(Savings[]), "", IF(INDEX('Budget Dashboard'!$K:$K, MATCH(savings_header_row + Calculations!L37, 'Budget Dashboard'!$X:$X, 0))=0, "", INDEX('Budget Dashboard'!$K:$K, MATCH(savings_header_row + Calculations!L37, 'Budget Dashboard'!$X:$X, 0))))</f>
        <v>750</v>
      </c>
    </row>
    <row r="38" spans="4:14" x14ac:dyDescent="0.25">
      <c r="D38" s="76">
        <v>4</v>
      </c>
      <c r="E38" s="76" t="str" cm="1">
        <f t="array" ref="E38">IF(F38="", "", INDEX('Budget Dashboard'!$J:$J, MATCH(income_header_row + Calculations!D38, 'Budget Dashboard'!$X:$X, 0)))</f>
        <v/>
      </c>
      <c r="F38" s="79" t="str" cm="1">
        <f t="array" ref="F38">IF(D38&gt;COUNTA(Income[]), "", IF(INDEX('Budget Dashboard'!$K:$K, MATCH(income_header_row + Calculations!D38, 'Budget Dashboard'!$X:$X, 0))=0, "", INDEX('Budget Dashboard'!$K:$K, MATCH(income_header_row + Calculations!D38, 'Budget Dashboard'!$X:$X, 0))))</f>
        <v/>
      </c>
      <c r="H38" s="76">
        <v>4</v>
      </c>
      <c r="I38" s="76" t="str" cm="1">
        <f t="array" aca="1" ref="I38" ca="1">IF(J38="", "", INDEX('Budget Dashboard'!$J:$J, MATCH(expenses_header_row + Calculations!H38, 'Budget Dashboard'!$X:$X, 0)))</f>
        <v>Fun &amp; Vacation</v>
      </c>
      <c r="J38" s="79" cm="1">
        <f t="array" aca="1" ref="J38" ca="1">IF(H38&gt;COUNTA(Expenses[]), "", IF(INDEX('Budget Dashboard'!$K:$K, MATCH(expenses_header_row + Calculations!H38, 'Budget Dashboard'!$X:$X, 0))=0, "", INDEX('Budget Dashboard'!$K:$K, MATCH(expenses_header_row + Calculations!H38, 'Budget Dashboard'!$X:$X, 0))))</f>
        <v>730</v>
      </c>
      <c r="L38" s="76">
        <v>4</v>
      </c>
      <c r="M38" s="76" t="str" cm="1">
        <f t="array" aca="1" ref="M38" ca="1">IF(N38="", "", INDEX('Budget Dashboard'!$J:$J, MATCH(savings_header_row + Calculations!L38, 'Budget Dashboard'!$X:$X, 0)))</f>
        <v>Sinking Fund Rest</v>
      </c>
      <c r="N38" s="79" cm="1">
        <f t="array" aca="1" ref="N38" ca="1">IF(L38&gt;COUNTA(Savings[]), "", IF(INDEX('Budget Dashboard'!$K:$K, MATCH(savings_header_row + Calculations!L38, 'Budget Dashboard'!$X:$X, 0))=0, "", INDEX('Budget Dashboard'!$K:$K, MATCH(savings_header_row + Calculations!L38, 'Budget Dashboard'!$X:$X, 0))))</f>
        <v>400</v>
      </c>
    </row>
    <row r="39" spans="4:14" x14ac:dyDescent="0.25">
      <c r="D39" s="76">
        <v>5</v>
      </c>
      <c r="E39" s="76" t="str" cm="1">
        <f t="array" ref="E39">IF(F39="", "", INDEX('Budget Dashboard'!$J:$J, MATCH(income_header_row + Calculations!D39, 'Budget Dashboard'!$X:$X, 0)))</f>
        <v/>
      </c>
      <c r="F39" s="79" t="str" cm="1">
        <f t="array" ref="F39">IF(D39&gt;COUNTA(Income[]), "", IF(INDEX('Budget Dashboard'!$K:$K, MATCH(income_header_row + Calculations!D39, 'Budget Dashboard'!$X:$X, 0))=0, "", INDEX('Budget Dashboard'!$K:$K, MATCH(income_header_row + Calculations!D39, 'Budget Dashboard'!$X:$X, 0))))</f>
        <v/>
      </c>
      <c r="H39" s="76">
        <v>5</v>
      </c>
      <c r="I39" s="76" t="str" cm="1">
        <f t="array" aca="1" ref="I39" ca="1">IF(J39="", "", INDEX('Budget Dashboard'!$J:$J, MATCH(expenses_header_row + Calculations!H39, 'Budget Dashboard'!$X:$X, 0)))</f>
        <v>Transportation</v>
      </c>
      <c r="J39" s="79" cm="1">
        <f t="array" aca="1" ref="J39" ca="1">IF(H39&gt;COUNTA(Expenses[]), "", IF(INDEX('Budget Dashboard'!$K:$K, MATCH(expenses_header_row + Calculations!H39, 'Budget Dashboard'!$X:$X, 0))=0, "", INDEX('Budget Dashboard'!$K:$K, MATCH(expenses_header_row + Calculations!H39, 'Budget Dashboard'!$X:$X, 0))))</f>
        <v>610</v>
      </c>
      <c r="L39" s="76">
        <v>5</v>
      </c>
      <c r="M39" s="76" t="str" cm="1">
        <f t="array" aca="1" ref="M39" ca="1">IF(N39="", "", INDEX('Budget Dashboard'!$J:$J, MATCH(savings_header_row + Calculations!L39, 'Budget Dashboard'!$X:$X, 0)))</f>
        <v/>
      </c>
      <c r="N39" s="79" t="str" cm="1">
        <f t="array" aca="1" ref="N39" ca="1">IF(L39&gt;COUNTA(Savings[]), "", IF(INDEX('Budget Dashboard'!$K:$K, MATCH(savings_header_row + Calculations!L39, 'Budget Dashboard'!$X:$X, 0))=0, "", INDEX('Budget Dashboard'!$K:$K, MATCH(savings_header_row + Calculations!L39, 'Budget Dashboard'!$X:$X, 0))))</f>
        <v/>
      </c>
    </row>
    <row r="40" spans="4:14" ht="15.75" thickBot="1" x14ac:dyDescent="0.3">
      <c r="D40" s="77">
        <v>6</v>
      </c>
      <c r="E40" s="77" t="str">
        <f ca="1">IF(F40="", "", "Other")</f>
        <v/>
      </c>
      <c r="F40" s="80" t="str">
        <f ca="1">IF(F41-SUM(F35:F39)=0, "", F41-SUM(F35:F39))</f>
        <v/>
      </c>
      <c r="H40" s="77">
        <v>6</v>
      </c>
      <c r="I40" s="77" t="str">
        <f ca="1">IF(J40="", "", "Other")</f>
        <v>Other</v>
      </c>
      <c r="J40" s="80">
        <f ca="1">IF(J41-SUM(J35:J39)=0, "", J41-SUM(J35:J39))</f>
        <v>1150</v>
      </c>
      <c r="L40" s="77">
        <v>6</v>
      </c>
      <c r="M40" s="77" t="str">
        <f ca="1">IF(N40="", "", "Other")</f>
        <v/>
      </c>
      <c r="N40" s="80" t="str">
        <f ca="1">IF(N41-SUM(N35:N39)=0, "", N41-SUM(N35:N39))</f>
        <v/>
      </c>
    </row>
    <row r="41" spans="4:14" ht="15.75" thickTop="1" x14ac:dyDescent="0.25">
      <c r="D41" s="76"/>
      <c r="E41" s="78" t="s">
        <v>6</v>
      </c>
      <c r="F41" s="81" cm="1">
        <f t="array" aca="1" ref="F41" ca="1">INDEX('Budget Dashboard'!$K:$K, MATCH(income_total_row, 'Budget Dashboard'!$X:$X, 0))</f>
        <v>13600</v>
      </c>
      <c r="H41" s="76"/>
      <c r="I41" s="78" t="s">
        <v>6</v>
      </c>
      <c r="J41" s="81" cm="1">
        <f t="array" aca="1" ref="J41" ca="1">INDEX('Budget Dashboard'!$K:$K, MATCH(expenses_total_row, 'Budget Dashboard'!$X:$X, 0))</f>
        <v>7890</v>
      </c>
      <c r="L41" s="76"/>
      <c r="M41" s="78" t="s">
        <v>6</v>
      </c>
      <c r="N41" s="81" cm="1">
        <f t="array" aca="1" ref="N41" ca="1">INDEX('Budget Dashboard'!$K:$K, MATCH(savings_total_row, 'Budget Dashboard'!$X:$X, 0))</f>
        <v>3090</v>
      </c>
    </row>
    <row r="47" spans="4:14" x14ac:dyDescent="0.25">
      <c r="D47" s="74" t="s">
        <v>86</v>
      </c>
      <c r="E47" s="73"/>
      <c r="F47" s="73"/>
      <c r="G47" s="73"/>
      <c r="H47" s="73"/>
      <c r="I47" s="73"/>
      <c r="J47" s="73"/>
      <c r="K47" s="73"/>
      <c r="L47" s="73"/>
      <c r="M47" s="73"/>
      <c r="N47" s="73"/>
    </row>
    <row r="49" spans="4:18" x14ac:dyDescent="0.25">
      <c r="D49" s="94" t="s">
        <v>100</v>
      </c>
      <c r="E49" s="95" t="b">
        <v>1</v>
      </c>
    </row>
    <row r="50" spans="4:18" x14ac:dyDescent="0.25">
      <c r="D50" s="94" t="s">
        <v>101</v>
      </c>
      <c r="E50" s="95" t="b">
        <v>1</v>
      </c>
    </row>
    <row r="51" spans="4:18" x14ac:dyDescent="0.25">
      <c r="D51" s="94" t="s">
        <v>102</v>
      </c>
      <c r="E51" s="95" t="b">
        <v>1</v>
      </c>
    </row>
    <row r="52" spans="4:18" x14ac:dyDescent="0.25">
      <c r="D52" s="94" t="s">
        <v>103</v>
      </c>
      <c r="E52" s="95" t="b">
        <v>1</v>
      </c>
    </row>
    <row r="53" spans="4:18" x14ac:dyDescent="0.25">
      <c r="M53" s="86" t="s">
        <v>95</v>
      </c>
      <c r="N53" s="86"/>
      <c r="O53" s="86"/>
      <c r="P53" s="87" t="s">
        <v>99</v>
      </c>
      <c r="Q53" s="87"/>
      <c r="R53" s="87"/>
    </row>
    <row r="54" spans="4:18" s="78" customFormat="1" x14ac:dyDescent="0.25">
      <c r="D54" s="75" t="s">
        <v>87</v>
      </c>
      <c r="E54" s="75" t="s">
        <v>28</v>
      </c>
      <c r="F54" s="75" t="s">
        <v>88</v>
      </c>
      <c r="G54" s="75" t="s">
        <v>89</v>
      </c>
      <c r="H54" s="75" t="s">
        <v>90</v>
      </c>
      <c r="I54" s="75" t="s">
        <v>91</v>
      </c>
      <c r="J54" s="75" t="s">
        <v>92</v>
      </c>
      <c r="K54" s="75" t="s">
        <v>93</v>
      </c>
      <c r="L54" s="75" t="s">
        <v>94</v>
      </c>
      <c r="M54" s="75" t="s">
        <v>96</v>
      </c>
      <c r="N54" s="75" t="s">
        <v>97</v>
      </c>
      <c r="O54" s="75" t="s">
        <v>98</v>
      </c>
      <c r="P54" s="75" t="s">
        <v>96</v>
      </c>
      <c r="Q54" s="75" t="s">
        <v>97</v>
      </c>
      <c r="R54" s="75" t="s">
        <v>98</v>
      </c>
    </row>
    <row r="55" spans="4:18" x14ac:dyDescent="0.25">
      <c r="D55" s="89">
        <f ca="1">DATE(selected_year, 1, 1)</f>
        <v>45658</v>
      </c>
      <c r="E55" s="92" t="s">
        <v>4</v>
      </c>
      <c r="F55" s="92">
        <f ca="1">MONTH(D55)</f>
        <v>1</v>
      </c>
      <c r="G55" s="92">
        <f>IF(selected_period="Total Year", 1, IF(selected_period=cc_month_number, 1, 0))</f>
        <v>1</v>
      </c>
      <c r="H55" s="92">
        <f>1*$E$49</f>
        <v>1</v>
      </c>
      <c r="I55" s="92">
        <f>1*$E$52</f>
        <v>1</v>
      </c>
      <c r="J55" s="96" cm="1">
        <f t="array" aca="1" ref="J55" ca="1">SUM(Tracking[Amount] * (Tracking[Type]=cc_type) * (YEAR(Tracking[Effective Date])=selected_year) * (MONTH(Tracking[Effective Date])=cc_month_number))</f>
        <v>4850</v>
      </c>
      <c r="K55" s="96" cm="1">
        <f t="array" aca="1" ref="K55" ca="1">INDEX('Budget Planning'!$E:$EM, income_total_row, MATCH(DATE(selected_year, cc_month_number, 1), 'Budget Planning'!$E$9:$EM$9, 0))</f>
        <v>4650</v>
      </c>
      <c r="L55" s="96">
        <f ca="1">cc_budget-cc_tracked</f>
        <v>-200</v>
      </c>
      <c r="M55" s="96">
        <f ca="1">cc_in_focus * cc_show_type * MIN(cc_tracked, cc_budget)</f>
        <v>4650</v>
      </c>
      <c r="N55" s="96">
        <f ca="1">cc_in_focus * cc_show_type * cc_show_remaining_budget * IF(cc_delta&gt;0, cc_delta, 0)</f>
        <v>0</v>
      </c>
      <c r="O55" s="96">
        <f ca="1">cc_in_focus * cc_show_type * IF(cc_delta&lt;0, ABS(cc_delta), 0)</f>
        <v>200</v>
      </c>
      <c r="P55" s="96">
        <f ca="1">NOT(cc_in_focus) * cc_show_type * MIN(cc_tracked, cc_budget)</f>
        <v>0</v>
      </c>
      <c r="Q55" s="96">
        <f ca="1">NOT(cc_in_focus) * cc_show_type * cc_show_remaining_budget * IF(cc_delta&gt;0, cc_delta, 0)</f>
        <v>0</v>
      </c>
      <c r="R55" s="96">
        <f ca="1">NOT(cc_in_focus) * cc_show_type * IF(cc_delta&lt;0, ABS(cc_delta), 0)</f>
        <v>0</v>
      </c>
    </row>
    <row r="56" spans="4:18" x14ac:dyDescent="0.25">
      <c r="D56" s="89"/>
      <c r="E56" s="92" t="s">
        <v>8</v>
      </c>
      <c r="F56" s="92">
        <f ca="1">MONTH(D55)</f>
        <v>1</v>
      </c>
      <c r="G56" s="92">
        <f>IF(selected_period="Total Year", 1, IF(selected_period=cc_month_number, 1, 0))</f>
        <v>1</v>
      </c>
      <c r="H56" s="92">
        <f>1*$E$50</f>
        <v>1</v>
      </c>
      <c r="I56" s="92">
        <f t="shared" ref="I56:I57" si="0">1*$E$52</f>
        <v>1</v>
      </c>
      <c r="J56" s="96" cm="1">
        <f t="array" aca="1" ref="J56" ca="1">SUM(Tracking[Amount] * (Tracking[Type]=cc_type) * (YEAR(Tracking[Effective Date])=selected_year) * (MONTH(Tracking[Effective Date])=cc_month_number))</f>
        <v>2800</v>
      </c>
      <c r="K56" s="96" cm="1">
        <f t="array" aca="1" ref="K56" ca="1">INDEX('Budget Planning'!$E:$EM, expenses_total_row, MATCH(DATE(selected_year, cc_month_number, 1), 'Budget Planning'!$E$9:$EM$9, 0))</f>
        <v>2900</v>
      </c>
      <c r="L56" s="96">
        <f ca="1">cc_budget-cc_tracked</f>
        <v>100</v>
      </c>
      <c r="M56" s="96">
        <f ca="1">cc_in_focus * cc_show_type * MIN(cc_tracked, cc_budget)</f>
        <v>2800</v>
      </c>
      <c r="N56" s="96">
        <f ca="1">cc_in_focus * cc_show_type * cc_show_remaining_budget * IF(cc_delta&gt;0, cc_delta, 0)</f>
        <v>100</v>
      </c>
      <c r="O56" s="96">
        <f ca="1">cc_in_focus * cc_show_type * IF(cc_delta&lt;0, ABS(cc_delta), 0)</f>
        <v>0</v>
      </c>
      <c r="P56" s="96">
        <f ca="1">NOT(cc_in_focus) * cc_show_type * MIN(cc_tracked, cc_budget)</f>
        <v>0</v>
      </c>
      <c r="Q56" s="96">
        <f ca="1">NOT(cc_in_focus) * cc_show_type * cc_show_remaining_budget * IF(cc_delta&gt;0, cc_delta, 0)</f>
        <v>0</v>
      </c>
      <c r="R56" s="96">
        <f ca="1">NOT(cc_in_focus) * cc_show_type * IF(cc_delta&lt;0, ABS(cc_delta), 0)</f>
        <v>0</v>
      </c>
    </row>
    <row r="57" spans="4:18" x14ac:dyDescent="0.25">
      <c r="D57" s="89"/>
      <c r="E57" s="92" t="s">
        <v>13</v>
      </c>
      <c r="F57" s="92">
        <f ca="1">MONTH(D55)</f>
        <v>1</v>
      </c>
      <c r="G57" s="92">
        <f>IF(selected_period="Total Year", 1, IF(selected_period=cc_month_number, 1, 0))</f>
        <v>1</v>
      </c>
      <c r="H57" s="92">
        <f>1*$E$51</f>
        <v>1</v>
      </c>
      <c r="I57" s="92">
        <f t="shared" si="0"/>
        <v>1</v>
      </c>
      <c r="J57" s="96" cm="1">
        <f t="array" aca="1" ref="J57" ca="1">SUM(Tracking[Amount] * (Tracking[Type]=cc_type) * (YEAR(Tracking[Effective Date])=selected_year) * (MONTH(Tracking[Effective Date])=cc_month_number))</f>
        <v>2050</v>
      </c>
      <c r="K57" s="96" cm="1">
        <f t="array" aca="1" ref="K57" ca="1">INDEX('Budget Planning'!$E:$EM, savings_total_row, MATCH(DATE(selected_year, cc_month_number, 1), 'Budget Planning'!$E$9:$EM$9, 0))</f>
        <v>1750</v>
      </c>
      <c r="L57" s="96">
        <f ca="1">cc_budget-cc_tracked</f>
        <v>-300</v>
      </c>
      <c r="M57" s="96">
        <f ca="1">cc_in_focus * cc_show_type * MIN(cc_tracked, cc_budget)</f>
        <v>1750</v>
      </c>
      <c r="N57" s="96">
        <f ca="1">cc_in_focus * cc_show_type * cc_show_remaining_budget * IF(cc_delta&gt;0, cc_delta, 0)</f>
        <v>0</v>
      </c>
      <c r="O57" s="96">
        <f ca="1">cc_in_focus * cc_show_type * IF(cc_delta&lt;0, ABS(cc_delta), 0)</f>
        <v>300</v>
      </c>
      <c r="P57" s="96">
        <f ca="1">NOT(cc_in_focus) * cc_show_type * MIN(cc_tracked, cc_budget)</f>
        <v>0</v>
      </c>
      <c r="Q57" s="96">
        <f ca="1">NOT(cc_in_focus) * cc_show_type * cc_show_remaining_budget * IF(cc_delta&gt;0, cc_delta, 0)</f>
        <v>0</v>
      </c>
      <c r="R57" s="96">
        <f ca="1">NOT(cc_in_focus) * cc_show_type * IF(cc_delta&lt;0, ABS(cc_delta), 0)</f>
        <v>0</v>
      </c>
    </row>
    <row r="58" spans="4:18" x14ac:dyDescent="0.25">
      <c r="D58" s="90"/>
      <c r="E58" s="93"/>
      <c r="F58" s="93"/>
      <c r="G58" s="93"/>
      <c r="H58" s="93"/>
      <c r="I58" s="93"/>
      <c r="J58" s="97"/>
      <c r="K58" s="97"/>
      <c r="L58" s="97"/>
      <c r="M58" s="97"/>
      <c r="N58" s="97"/>
      <c r="O58" s="97"/>
      <c r="P58" s="97"/>
      <c r="Q58" s="97"/>
      <c r="R58" s="97"/>
    </row>
    <row r="59" spans="4:18" x14ac:dyDescent="0.25">
      <c r="D59" s="88">
        <f ca="1">DATE(selected_year, 2, 1)</f>
        <v>45689</v>
      </c>
      <c r="E59" s="91" t="s">
        <v>4</v>
      </c>
      <c r="F59" s="92">
        <f t="shared" ref="F59:F102" ca="1" si="1">MONTH(D59)</f>
        <v>2</v>
      </c>
      <c r="G59" s="92">
        <f>IF(selected_period="Total Year", 1, IF(selected_period=cc_month_number, 1, 0))</f>
        <v>1</v>
      </c>
      <c r="H59" s="92">
        <f t="shared" ref="H59" si="2">1*$E$49</f>
        <v>1</v>
      </c>
      <c r="I59" s="92">
        <f t="shared" ref="I59:I101" si="3">1*$E$52</f>
        <v>1</v>
      </c>
      <c r="J59" s="96" cm="1">
        <f t="array" aca="1" ref="J59" ca="1">SUM(Tracking[Amount] * (Tracking[Type]=cc_type) * (YEAR(Tracking[Effective Date])=selected_year) * (MONTH(Tracking[Effective Date])=cc_month_number))</f>
        <v>4050</v>
      </c>
      <c r="K59" s="96" cm="1">
        <f t="array" aca="1" ref="K59" ca="1">INDEX('Budget Planning'!$E:$EM, income_total_row, MATCH(DATE(selected_year, cc_month_number, 1), 'Budget Planning'!$E$9:$EM$9, 0))</f>
        <v>4550</v>
      </c>
      <c r="L59" s="96">
        <f ca="1">cc_budget-cc_tracked</f>
        <v>500</v>
      </c>
      <c r="M59" s="96">
        <f ca="1">cc_in_focus * cc_show_type * MIN(cc_tracked, cc_budget)</f>
        <v>4050</v>
      </c>
      <c r="N59" s="96">
        <f ca="1">cc_in_focus * cc_show_type * cc_show_remaining_budget * IF(cc_delta&gt;0, cc_delta, 0)</f>
        <v>500</v>
      </c>
      <c r="O59" s="96">
        <f ca="1">cc_in_focus * cc_show_type * IF(cc_delta&lt;0, ABS(cc_delta), 0)</f>
        <v>0</v>
      </c>
      <c r="P59" s="96">
        <f ca="1">NOT(cc_in_focus) * cc_show_type * MIN(cc_tracked, cc_budget)</f>
        <v>0</v>
      </c>
      <c r="Q59" s="96">
        <f ca="1">NOT(cc_in_focus) * cc_show_type * cc_show_remaining_budget * IF(cc_delta&gt;0, cc_delta, 0)</f>
        <v>0</v>
      </c>
      <c r="R59" s="96">
        <f ca="1">NOT(cc_in_focus) * cc_show_type * IF(cc_delta&lt;0, ABS(cc_delta), 0)</f>
        <v>0</v>
      </c>
    </row>
    <row r="60" spans="4:18" x14ac:dyDescent="0.25">
      <c r="D60" s="89"/>
      <c r="E60" s="92" t="s">
        <v>8</v>
      </c>
      <c r="F60" s="92">
        <f ca="1">MONTH(D59)</f>
        <v>2</v>
      </c>
      <c r="G60" s="92">
        <f>IF(selected_period="Total Year", 1, IF(selected_period=cc_month_number, 1, 0))</f>
        <v>1</v>
      </c>
      <c r="H60" s="92">
        <f t="shared" ref="H60" si="4">1*$E$50</f>
        <v>1</v>
      </c>
      <c r="I60" s="92">
        <f t="shared" si="3"/>
        <v>1</v>
      </c>
      <c r="J60" s="96" cm="1">
        <f t="array" aca="1" ref="J60" ca="1">SUM(Tracking[Amount] * (Tracking[Type]=cc_type) * (YEAR(Tracking[Effective Date])=selected_year) * (MONTH(Tracking[Effective Date])=cc_month_number))</f>
        <v>3010</v>
      </c>
      <c r="K60" s="96" cm="1">
        <f t="array" aca="1" ref="K60" ca="1">INDEX('Budget Planning'!$E:$EM, expenses_total_row, MATCH(DATE(selected_year, cc_month_number, 1), 'Budget Planning'!$E$9:$EM$9, 0))</f>
        <v>2900</v>
      </c>
      <c r="L60" s="96">
        <f ca="1">cc_budget-cc_tracked</f>
        <v>-110</v>
      </c>
      <c r="M60" s="96">
        <f ca="1">cc_in_focus * cc_show_type * MIN(cc_tracked, cc_budget)</f>
        <v>2900</v>
      </c>
      <c r="N60" s="96">
        <f ca="1">cc_in_focus * cc_show_type * cc_show_remaining_budget * IF(cc_delta&gt;0, cc_delta, 0)</f>
        <v>0</v>
      </c>
      <c r="O60" s="96">
        <f ca="1">cc_in_focus * cc_show_type * IF(cc_delta&lt;0, ABS(cc_delta), 0)</f>
        <v>110</v>
      </c>
      <c r="P60" s="96">
        <f ca="1">NOT(cc_in_focus) * cc_show_type * MIN(cc_tracked, cc_budget)</f>
        <v>0</v>
      </c>
      <c r="Q60" s="96">
        <f ca="1">NOT(cc_in_focus) * cc_show_type * cc_show_remaining_budget * IF(cc_delta&gt;0, cc_delta, 0)</f>
        <v>0</v>
      </c>
      <c r="R60" s="96">
        <f ca="1">NOT(cc_in_focus) * cc_show_type * IF(cc_delta&lt;0, ABS(cc_delta), 0)</f>
        <v>0</v>
      </c>
    </row>
    <row r="61" spans="4:18" x14ac:dyDescent="0.25">
      <c r="D61" s="89"/>
      <c r="E61" s="92" t="s">
        <v>13</v>
      </c>
      <c r="F61" s="92">
        <f t="shared" ref="F61" ca="1" si="5">MONTH(D59)</f>
        <v>2</v>
      </c>
      <c r="G61" s="92">
        <f>IF(selected_period="Total Year", 1, IF(selected_period=cc_month_number, 1, 0))</f>
        <v>1</v>
      </c>
      <c r="H61" s="92">
        <f t="shared" ref="H61" si="6">1*$E$51</f>
        <v>1</v>
      </c>
      <c r="I61" s="92">
        <f t="shared" si="3"/>
        <v>1</v>
      </c>
      <c r="J61" s="96" cm="1">
        <f t="array" aca="1" ref="J61" ca="1">SUM(Tracking[Amount] * (Tracking[Type]=cc_type) * (YEAR(Tracking[Effective Date])=selected_year) * (MONTH(Tracking[Effective Date])=cc_month_number))</f>
        <v>1040</v>
      </c>
      <c r="K61" s="96" cm="1">
        <f t="array" aca="1" ref="K61" ca="1">INDEX('Budget Planning'!$E:$EM, savings_total_row, MATCH(DATE(selected_year, cc_month_number, 1), 'Budget Planning'!$E$9:$EM$9, 0))</f>
        <v>1650</v>
      </c>
      <c r="L61" s="96">
        <f ca="1">cc_budget-cc_tracked</f>
        <v>610</v>
      </c>
      <c r="M61" s="96">
        <f ca="1">cc_in_focus * cc_show_type * MIN(cc_tracked, cc_budget)</f>
        <v>1040</v>
      </c>
      <c r="N61" s="96">
        <f ca="1">cc_in_focus * cc_show_type * cc_show_remaining_budget * IF(cc_delta&gt;0, cc_delta, 0)</f>
        <v>610</v>
      </c>
      <c r="O61" s="96">
        <f ca="1">cc_in_focus * cc_show_type * IF(cc_delta&lt;0, ABS(cc_delta), 0)</f>
        <v>0</v>
      </c>
      <c r="P61" s="96">
        <f ca="1">NOT(cc_in_focus) * cc_show_type * MIN(cc_tracked, cc_budget)</f>
        <v>0</v>
      </c>
      <c r="Q61" s="96">
        <f ca="1">NOT(cc_in_focus) * cc_show_type * cc_show_remaining_budget * IF(cc_delta&gt;0, cc_delta, 0)</f>
        <v>0</v>
      </c>
      <c r="R61" s="96">
        <f ca="1">NOT(cc_in_focus) * cc_show_type * IF(cc_delta&lt;0, ABS(cc_delta), 0)</f>
        <v>0</v>
      </c>
    </row>
    <row r="62" spans="4:18" x14ac:dyDescent="0.25">
      <c r="D62" s="90"/>
      <c r="E62" s="93"/>
      <c r="F62" s="93"/>
      <c r="G62" s="93"/>
      <c r="H62" s="93"/>
      <c r="I62" s="93"/>
      <c r="J62" s="97"/>
      <c r="K62" s="97"/>
      <c r="L62" s="97"/>
      <c r="M62" s="97"/>
      <c r="N62" s="97"/>
      <c r="O62" s="97"/>
      <c r="P62" s="97"/>
      <c r="Q62" s="97"/>
      <c r="R62" s="97"/>
    </row>
    <row r="63" spans="4:18" x14ac:dyDescent="0.25">
      <c r="D63" s="88">
        <f ca="1">DATE(selected_year, 3, 1)</f>
        <v>45717</v>
      </c>
      <c r="E63" s="91" t="s">
        <v>4</v>
      </c>
      <c r="F63" s="92">
        <f t="shared" ref="F63:F102" ca="1" si="7">MONTH(D63)</f>
        <v>3</v>
      </c>
      <c r="G63" s="92">
        <f>IF(selected_period="Total Year", 1, IF(selected_period=cc_month_number, 1, 0))</f>
        <v>1</v>
      </c>
      <c r="H63" s="92">
        <f t="shared" ref="H63" si="8">1*$E$49</f>
        <v>1</v>
      </c>
      <c r="I63" s="92">
        <f t="shared" ref="I63" si="9">1*$E$52</f>
        <v>1</v>
      </c>
      <c r="J63" s="96" cm="1">
        <f t="array" aca="1" ref="J63" ca="1">SUM(Tracking[Amount] * (Tracking[Type]=cc_type) * (YEAR(Tracking[Effective Date])=selected_year) * (MONTH(Tracking[Effective Date])=cc_month_number))</f>
        <v>4700</v>
      </c>
      <c r="K63" s="96" cm="1">
        <f t="array" aca="1" ref="K63" ca="1">INDEX('Budget Planning'!$E:$EM, income_total_row, MATCH(DATE(selected_year, cc_month_number, 1), 'Budget Planning'!$E$9:$EM$9, 0))</f>
        <v>4600</v>
      </c>
      <c r="L63" s="96">
        <f ca="1">cc_budget-cc_tracked</f>
        <v>-100</v>
      </c>
      <c r="M63" s="96">
        <f ca="1">cc_in_focus * cc_show_type * MIN(cc_tracked, cc_budget)</f>
        <v>4600</v>
      </c>
      <c r="N63" s="96">
        <f ca="1">cc_in_focus * cc_show_type * cc_show_remaining_budget * IF(cc_delta&gt;0, cc_delta, 0)</f>
        <v>0</v>
      </c>
      <c r="O63" s="96">
        <f ca="1">cc_in_focus * cc_show_type * IF(cc_delta&lt;0, ABS(cc_delta), 0)</f>
        <v>100</v>
      </c>
      <c r="P63" s="96">
        <f ca="1">NOT(cc_in_focus) * cc_show_type * MIN(cc_tracked, cc_budget)</f>
        <v>0</v>
      </c>
      <c r="Q63" s="96">
        <f ca="1">NOT(cc_in_focus) * cc_show_type * cc_show_remaining_budget * IF(cc_delta&gt;0, cc_delta, 0)</f>
        <v>0</v>
      </c>
      <c r="R63" s="96">
        <f ca="1">NOT(cc_in_focus) * cc_show_type * IF(cc_delta&lt;0, ABS(cc_delta), 0)</f>
        <v>0</v>
      </c>
    </row>
    <row r="64" spans="4:18" x14ac:dyDescent="0.25">
      <c r="D64" s="89"/>
      <c r="E64" s="92" t="s">
        <v>8</v>
      </c>
      <c r="F64" s="92">
        <f t="shared" ref="F64:F102" ca="1" si="10">MONTH(D63)</f>
        <v>3</v>
      </c>
      <c r="G64" s="92">
        <f>IF(selected_period="Total Year", 1, IF(selected_period=cc_month_number, 1, 0))</f>
        <v>1</v>
      </c>
      <c r="H64" s="92">
        <f t="shared" ref="H64" si="11">1*$E$50</f>
        <v>1</v>
      </c>
      <c r="I64" s="92">
        <f t="shared" si="3"/>
        <v>1</v>
      </c>
      <c r="J64" s="96" cm="1">
        <f t="array" aca="1" ref="J64" ca="1">SUM(Tracking[Amount] * (Tracking[Type]=cc_type) * (YEAR(Tracking[Effective Date])=selected_year) * (MONTH(Tracking[Effective Date])=cc_month_number))</f>
        <v>2080</v>
      </c>
      <c r="K64" s="96" cm="1">
        <f t="array" aca="1" ref="K64" ca="1">INDEX('Budget Planning'!$E:$EM, expenses_total_row, MATCH(DATE(selected_year, cc_month_number, 1), 'Budget Planning'!$E$9:$EM$9, 0))</f>
        <v>3050</v>
      </c>
      <c r="L64" s="96">
        <f ca="1">cc_budget-cc_tracked</f>
        <v>970</v>
      </c>
      <c r="M64" s="96">
        <f ca="1">cc_in_focus * cc_show_type * MIN(cc_tracked, cc_budget)</f>
        <v>2080</v>
      </c>
      <c r="N64" s="96">
        <f ca="1">cc_in_focus * cc_show_type * cc_show_remaining_budget * IF(cc_delta&gt;0, cc_delta, 0)</f>
        <v>970</v>
      </c>
      <c r="O64" s="96">
        <f ca="1">cc_in_focus * cc_show_type * IF(cc_delta&lt;0, ABS(cc_delta), 0)</f>
        <v>0</v>
      </c>
      <c r="P64" s="96">
        <f ca="1">NOT(cc_in_focus) * cc_show_type * MIN(cc_tracked, cc_budget)</f>
        <v>0</v>
      </c>
      <c r="Q64" s="96">
        <f ca="1">NOT(cc_in_focus) * cc_show_type * cc_show_remaining_budget * IF(cc_delta&gt;0, cc_delta, 0)</f>
        <v>0</v>
      </c>
      <c r="R64" s="96">
        <f ca="1">NOT(cc_in_focus) * cc_show_type * IF(cc_delta&lt;0, ABS(cc_delta), 0)</f>
        <v>0</v>
      </c>
    </row>
    <row r="65" spans="4:18" x14ac:dyDescent="0.25">
      <c r="D65" s="89"/>
      <c r="E65" s="92" t="s">
        <v>13</v>
      </c>
      <c r="F65" s="92">
        <f t="shared" ref="F65" ca="1" si="12">MONTH(D63)</f>
        <v>3</v>
      </c>
      <c r="G65" s="92">
        <f>IF(selected_period="Total Year", 1, IF(selected_period=cc_month_number, 1, 0))</f>
        <v>1</v>
      </c>
      <c r="H65" s="92">
        <f t="shared" ref="H65" si="13">1*$E$51</f>
        <v>1</v>
      </c>
      <c r="I65" s="92">
        <f t="shared" si="3"/>
        <v>1</v>
      </c>
      <c r="J65" s="96" cm="1">
        <f t="array" aca="1" ref="J65" ca="1">SUM(Tracking[Amount] * (Tracking[Type]=cc_type) * (YEAR(Tracking[Effective Date])=selected_year) * (MONTH(Tracking[Effective Date])=cc_month_number))</f>
        <v>0</v>
      </c>
      <c r="K65" s="96" cm="1">
        <f t="array" aca="1" ref="K65" ca="1">INDEX('Budget Planning'!$E:$EM, savings_total_row, MATCH(DATE(selected_year, cc_month_number, 1), 'Budget Planning'!$E$9:$EM$9, 0))</f>
        <v>1550</v>
      </c>
      <c r="L65" s="96">
        <f ca="1">cc_budget-cc_tracked</f>
        <v>1550</v>
      </c>
      <c r="M65" s="96">
        <f ca="1">cc_in_focus * cc_show_type * MIN(cc_tracked, cc_budget)</f>
        <v>0</v>
      </c>
      <c r="N65" s="96">
        <f ca="1">cc_in_focus * cc_show_type * cc_show_remaining_budget * IF(cc_delta&gt;0, cc_delta, 0)</f>
        <v>1550</v>
      </c>
      <c r="O65" s="96">
        <f ca="1">cc_in_focus * cc_show_type * IF(cc_delta&lt;0, ABS(cc_delta), 0)</f>
        <v>0</v>
      </c>
      <c r="P65" s="96">
        <f ca="1">NOT(cc_in_focus) * cc_show_type * MIN(cc_tracked, cc_budget)</f>
        <v>0</v>
      </c>
      <c r="Q65" s="96">
        <f ca="1">NOT(cc_in_focus) * cc_show_type * cc_show_remaining_budget * IF(cc_delta&gt;0, cc_delta, 0)</f>
        <v>0</v>
      </c>
      <c r="R65" s="96">
        <f ca="1">NOT(cc_in_focus) * cc_show_type * IF(cc_delta&lt;0, ABS(cc_delta), 0)</f>
        <v>0</v>
      </c>
    </row>
    <row r="66" spans="4:18" x14ac:dyDescent="0.25">
      <c r="D66" s="90"/>
      <c r="E66" s="93"/>
      <c r="F66" s="93"/>
      <c r="G66" s="93"/>
      <c r="H66" s="93"/>
      <c r="I66" s="93"/>
      <c r="J66" s="97"/>
      <c r="K66" s="97"/>
      <c r="L66" s="97"/>
      <c r="M66" s="97"/>
      <c r="N66" s="97"/>
      <c r="O66" s="97"/>
      <c r="P66" s="97"/>
      <c r="Q66" s="97"/>
      <c r="R66" s="97"/>
    </row>
    <row r="67" spans="4:18" x14ac:dyDescent="0.25">
      <c r="D67" s="88">
        <f ca="1">DATE(selected_year, 4, 1)</f>
        <v>45748</v>
      </c>
      <c r="E67" s="91" t="s">
        <v>4</v>
      </c>
      <c r="F67" s="92">
        <f t="shared" ref="F67:F102" ca="1" si="14">MONTH(D67)</f>
        <v>4</v>
      </c>
      <c r="G67" s="92">
        <f>IF(selected_period="Total Year", 1, IF(selected_period=cc_month_number, 1, 0))</f>
        <v>1</v>
      </c>
      <c r="H67" s="92">
        <f t="shared" ref="H67" si="15">1*$E$49</f>
        <v>1</v>
      </c>
      <c r="I67" s="92">
        <f t="shared" ref="I67" si="16">1*$E$52</f>
        <v>1</v>
      </c>
      <c r="J67" s="96" cm="1">
        <f t="array" aca="1" ref="J67" ca="1">SUM(Tracking[Amount] * (Tracking[Type]=cc_type) * (YEAR(Tracking[Effective Date])=selected_year) * (MONTH(Tracking[Effective Date])=cc_month_number))</f>
        <v>0</v>
      </c>
      <c r="K67" s="96" cm="1">
        <f t="array" aca="1" ref="K67" ca="1">INDEX('Budget Planning'!$E:$EM, income_total_row, MATCH(DATE(selected_year, cc_month_number, 1), 'Budget Planning'!$E$9:$EM$9, 0))</f>
        <v>5650</v>
      </c>
      <c r="L67" s="96">
        <f ca="1">cc_budget-cc_tracked</f>
        <v>5650</v>
      </c>
      <c r="M67" s="96">
        <f ca="1">cc_in_focus * cc_show_type * MIN(cc_tracked, cc_budget)</f>
        <v>0</v>
      </c>
      <c r="N67" s="96">
        <f ca="1">cc_in_focus * cc_show_type * cc_show_remaining_budget * IF(cc_delta&gt;0, cc_delta, 0)</f>
        <v>5650</v>
      </c>
      <c r="O67" s="96">
        <f ca="1">cc_in_focus * cc_show_type * IF(cc_delta&lt;0, ABS(cc_delta), 0)</f>
        <v>0</v>
      </c>
      <c r="P67" s="96">
        <f ca="1">NOT(cc_in_focus) * cc_show_type * MIN(cc_tracked, cc_budget)</f>
        <v>0</v>
      </c>
      <c r="Q67" s="96">
        <f ca="1">NOT(cc_in_focus) * cc_show_type * cc_show_remaining_budget * IF(cc_delta&gt;0, cc_delta, 0)</f>
        <v>0</v>
      </c>
      <c r="R67" s="96">
        <f ca="1">NOT(cc_in_focus) * cc_show_type * IF(cc_delta&lt;0, ABS(cc_delta), 0)</f>
        <v>0</v>
      </c>
    </row>
    <row r="68" spans="4:18" x14ac:dyDescent="0.25">
      <c r="D68" s="89"/>
      <c r="E68" s="92" t="s">
        <v>8</v>
      </c>
      <c r="F68" s="92">
        <f t="shared" ref="F68:F102" ca="1" si="17">MONTH(D67)</f>
        <v>4</v>
      </c>
      <c r="G68" s="92">
        <f>IF(selected_period="Total Year", 1, IF(selected_period=cc_month_number, 1, 0))</f>
        <v>1</v>
      </c>
      <c r="H68" s="92">
        <f t="shared" ref="H68" si="18">1*$E$50</f>
        <v>1</v>
      </c>
      <c r="I68" s="92">
        <f t="shared" si="3"/>
        <v>1</v>
      </c>
      <c r="J68" s="96" cm="1">
        <f t="array" aca="1" ref="J68" ca="1">SUM(Tracking[Amount] * (Tracking[Type]=cc_type) * (YEAR(Tracking[Effective Date])=selected_year) * (MONTH(Tracking[Effective Date])=cc_month_number))</f>
        <v>0</v>
      </c>
      <c r="K68" s="96" cm="1">
        <f t="array" aca="1" ref="K68" ca="1">INDEX('Budget Planning'!$E:$EM, expenses_total_row, MATCH(DATE(selected_year, cc_month_number, 1), 'Budget Planning'!$E$9:$EM$9, 0))</f>
        <v>3800</v>
      </c>
      <c r="L68" s="96">
        <f ca="1">cc_budget-cc_tracked</f>
        <v>3800</v>
      </c>
      <c r="M68" s="96">
        <f ca="1">cc_in_focus * cc_show_type * MIN(cc_tracked, cc_budget)</f>
        <v>0</v>
      </c>
      <c r="N68" s="96">
        <f ca="1">cc_in_focus * cc_show_type * cc_show_remaining_budget * IF(cc_delta&gt;0, cc_delta, 0)</f>
        <v>3800</v>
      </c>
      <c r="O68" s="96">
        <f ca="1">cc_in_focus * cc_show_type * IF(cc_delta&lt;0, ABS(cc_delta), 0)</f>
        <v>0</v>
      </c>
      <c r="P68" s="96">
        <f ca="1">NOT(cc_in_focus) * cc_show_type * MIN(cc_tracked, cc_budget)</f>
        <v>0</v>
      </c>
      <c r="Q68" s="96">
        <f ca="1">NOT(cc_in_focus) * cc_show_type * cc_show_remaining_budget * IF(cc_delta&gt;0, cc_delta, 0)</f>
        <v>0</v>
      </c>
      <c r="R68" s="96">
        <f ca="1">NOT(cc_in_focus) * cc_show_type * IF(cc_delta&lt;0, ABS(cc_delta), 0)</f>
        <v>0</v>
      </c>
    </row>
    <row r="69" spans="4:18" x14ac:dyDescent="0.25">
      <c r="D69" s="89"/>
      <c r="E69" s="92" t="s">
        <v>13</v>
      </c>
      <c r="F69" s="92">
        <f t="shared" ref="F69" ca="1" si="19">MONTH(D67)</f>
        <v>4</v>
      </c>
      <c r="G69" s="92">
        <f>IF(selected_period="Total Year", 1, IF(selected_period=cc_month_number, 1, 0))</f>
        <v>1</v>
      </c>
      <c r="H69" s="92">
        <f t="shared" ref="H69" si="20">1*$E$51</f>
        <v>1</v>
      </c>
      <c r="I69" s="92">
        <f t="shared" si="3"/>
        <v>1</v>
      </c>
      <c r="J69" s="96" cm="1">
        <f t="array" aca="1" ref="J69" ca="1">SUM(Tracking[Amount] * (Tracking[Type]=cc_type) * (YEAR(Tracking[Effective Date])=selected_year) * (MONTH(Tracking[Effective Date])=cc_month_number))</f>
        <v>0</v>
      </c>
      <c r="K69" s="96" cm="1">
        <f t="array" aca="1" ref="K69" ca="1">INDEX('Budget Planning'!$E:$EM, savings_total_row, MATCH(DATE(selected_year, cc_month_number, 1), 'Budget Planning'!$E$9:$EM$9, 0))</f>
        <v>1850</v>
      </c>
      <c r="L69" s="96">
        <f ca="1">cc_budget-cc_tracked</f>
        <v>1850</v>
      </c>
      <c r="M69" s="96">
        <f ca="1">cc_in_focus * cc_show_type * MIN(cc_tracked, cc_budget)</f>
        <v>0</v>
      </c>
      <c r="N69" s="96">
        <f ca="1">cc_in_focus * cc_show_type * cc_show_remaining_budget * IF(cc_delta&gt;0, cc_delta, 0)</f>
        <v>1850</v>
      </c>
      <c r="O69" s="96">
        <f ca="1">cc_in_focus * cc_show_type * IF(cc_delta&lt;0, ABS(cc_delta), 0)</f>
        <v>0</v>
      </c>
      <c r="P69" s="96">
        <f ca="1">NOT(cc_in_focus) * cc_show_type * MIN(cc_tracked, cc_budget)</f>
        <v>0</v>
      </c>
      <c r="Q69" s="96">
        <f ca="1">NOT(cc_in_focus) * cc_show_type * cc_show_remaining_budget * IF(cc_delta&gt;0, cc_delta, 0)</f>
        <v>0</v>
      </c>
      <c r="R69" s="96">
        <f ca="1">NOT(cc_in_focus) * cc_show_type * IF(cc_delta&lt;0, ABS(cc_delta), 0)</f>
        <v>0</v>
      </c>
    </row>
    <row r="70" spans="4:18" x14ac:dyDescent="0.25">
      <c r="D70" s="90"/>
      <c r="E70" s="93"/>
      <c r="F70" s="93"/>
      <c r="G70" s="93"/>
      <c r="H70" s="93"/>
      <c r="I70" s="93"/>
      <c r="J70" s="97"/>
      <c r="K70" s="97"/>
      <c r="L70" s="97"/>
      <c r="M70" s="97"/>
      <c r="N70" s="97"/>
      <c r="O70" s="97"/>
      <c r="P70" s="97"/>
      <c r="Q70" s="97"/>
      <c r="R70" s="97"/>
    </row>
    <row r="71" spans="4:18" x14ac:dyDescent="0.25">
      <c r="D71" s="88">
        <f ca="1">DATE(selected_year, 5, 1)</f>
        <v>45778</v>
      </c>
      <c r="E71" s="91" t="s">
        <v>4</v>
      </c>
      <c r="F71" s="92">
        <f t="shared" ref="F71:F102" ca="1" si="21">MONTH(D71)</f>
        <v>5</v>
      </c>
      <c r="G71" s="92">
        <f>IF(selected_period="Total Year", 1, IF(selected_period=cc_month_number, 1, 0))</f>
        <v>1</v>
      </c>
      <c r="H71" s="92">
        <f t="shared" ref="H71" si="22">1*$E$49</f>
        <v>1</v>
      </c>
      <c r="I71" s="92">
        <f t="shared" ref="I71" si="23">1*$E$52</f>
        <v>1</v>
      </c>
      <c r="J71" s="96" cm="1">
        <f t="array" aca="1" ref="J71" ca="1">SUM(Tracking[Amount] * (Tracking[Type]=cc_type) * (YEAR(Tracking[Effective Date])=selected_year) * (MONTH(Tracking[Effective Date])=cc_month_number))</f>
        <v>0</v>
      </c>
      <c r="K71" s="96" cm="1">
        <f t="array" aca="1" ref="K71" ca="1">INDEX('Budget Planning'!$E:$EM, income_total_row, MATCH(DATE(selected_year, cc_month_number, 1), 'Budget Planning'!$E$9:$EM$9, 0))</f>
        <v>5550</v>
      </c>
      <c r="L71" s="96">
        <f ca="1">cc_budget-cc_tracked</f>
        <v>5550</v>
      </c>
      <c r="M71" s="96">
        <f ca="1">cc_in_focus * cc_show_type * MIN(cc_tracked, cc_budget)</f>
        <v>0</v>
      </c>
      <c r="N71" s="96">
        <f ca="1">cc_in_focus * cc_show_type * cc_show_remaining_budget * IF(cc_delta&gt;0, cc_delta, 0)</f>
        <v>5550</v>
      </c>
      <c r="O71" s="96">
        <f ca="1">cc_in_focus * cc_show_type * IF(cc_delta&lt;0, ABS(cc_delta), 0)</f>
        <v>0</v>
      </c>
      <c r="P71" s="96">
        <f ca="1">NOT(cc_in_focus) * cc_show_type * MIN(cc_tracked, cc_budget)</f>
        <v>0</v>
      </c>
      <c r="Q71" s="96">
        <f ca="1">NOT(cc_in_focus) * cc_show_type * cc_show_remaining_budget * IF(cc_delta&gt;0, cc_delta, 0)</f>
        <v>0</v>
      </c>
      <c r="R71" s="96">
        <f ca="1">NOT(cc_in_focus) * cc_show_type * IF(cc_delta&lt;0, ABS(cc_delta), 0)</f>
        <v>0</v>
      </c>
    </row>
    <row r="72" spans="4:18" x14ac:dyDescent="0.25">
      <c r="D72" s="89"/>
      <c r="E72" s="92" t="s">
        <v>8</v>
      </c>
      <c r="F72" s="92">
        <f t="shared" ref="F72:F102" ca="1" si="24">MONTH(D71)</f>
        <v>5</v>
      </c>
      <c r="G72" s="92">
        <f>IF(selected_period="Total Year", 1, IF(selected_period=cc_month_number, 1, 0))</f>
        <v>1</v>
      </c>
      <c r="H72" s="92">
        <f t="shared" ref="H72" si="25">1*$E$50</f>
        <v>1</v>
      </c>
      <c r="I72" s="92">
        <f t="shared" si="3"/>
        <v>1</v>
      </c>
      <c r="J72" s="96" cm="1">
        <f t="array" aca="1" ref="J72" ca="1">SUM(Tracking[Amount] * (Tracking[Type]=cc_type) * (YEAR(Tracking[Effective Date])=selected_year) * (MONTH(Tracking[Effective Date])=cc_month_number))</f>
        <v>0</v>
      </c>
      <c r="K72" s="96" cm="1">
        <f t="array" aca="1" ref="K72" ca="1">INDEX('Budget Planning'!$E:$EM, expenses_total_row, MATCH(DATE(selected_year, cc_month_number, 1), 'Budget Planning'!$E$9:$EM$9, 0))</f>
        <v>2900</v>
      </c>
      <c r="L72" s="96">
        <f ca="1">cc_budget-cc_tracked</f>
        <v>2900</v>
      </c>
      <c r="M72" s="96">
        <f ca="1">cc_in_focus * cc_show_type * MIN(cc_tracked, cc_budget)</f>
        <v>0</v>
      </c>
      <c r="N72" s="96">
        <f ca="1">cc_in_focus * cc_show_type * cc_show_remaining_budget * IF(cc_delta&gt;0, cc_delta, 0)</f>
        <v>2900</v>
      </c>
      <c r="O72" s="96">
        <f ca="1">cc_in_focus * cc_show_type * IF(cc_delta&lt;0, ABS(cc_delta), 0)</f>
        <v>0</v>
      </c>
      <c r="P72" s="96">
        <f ca="1">NOT(cc_in_focus) * cc_show_type * MIN(cc_tracked, cc_budget)</f>
        <v>0</v>
      </c>
      <c r="Q72" s="96">
        <f ca="1">NOT(cc_in_focus) * cc_show_type * cc_show_remaining_budget * IF(cc_delta&gt;0, cc_delta, 0)</f>
        <v>0</v>
      </c>
      <c r="R72" s="96">
        <f ca="1">NOT(cc_in_focus) * cc_show_type * IF(cc_delta&lt;0, ABS(cc_delta), 0)</f>
        <v>0</v>
      </c>
    </row>
    <row r="73" spans="4:18" x14ac:dyDescent="0.25">
      <c r="D73" s="89"/>
      <c r="E73" s="92" t="s">
        <v>13</v>
      </c>
      <c r="F73" s="92">
        <f t="shared" ref="F73" ca="1" si="26">MONTH(D71)</f>
        <v>5</v>
      </c>
      <c r="G73" s="92">
        <f>IF(selected_period="Total Year", 1, IF(selected_period=cc_month_number, 1, 0))</f>
        <v>1</v>
      </c>
      <c r="H73" s="92">
        <f t="shared" ref="H73" si="27">1*$E$51</f>
        <v>1</v>
      </c>
      <c r="I73" s="92">
        <f t="shared" si="3"/>
        <v>1</v>
      </c>
      <c r="J73" s="96" cm="1">
        <f t="array" aca="1" ref="J73" ca="1">SUM(Tracking[Amount] * (Tracking[Type]=cc_type) * (YEAR(Tracking[Effective Date])=selected_year) * (MONTH(Tracking[Effective Date])=cc_month_number))</f>
        <v>0</v>
      </c>
      <c r="K73" s="96" cm="1">
        <f t="array" aca="1" ref="K73" ca="1">INDEX('Budget Planning'!$E:$EM, savings_total_row, MATCH(DATE(selected_year, cc_month_number, 1), 'Budget Planning'!$E$9:$EM$9, 0))</f>
        <v>2650</v>
      </c>
      <c r="L73" s="96">
        <f ca="1">cc_budget-cc_tracked</f>
        <v>2650</v>
      </c>
      <c r="M73" s="96">
        <f ca="1">cc_in_focus * cc_show_type * MIN(cc_tracked, cc_budget)</f>
        <v>0</v>
      </c>
      <c r="N73" s="96">
        <f ca="1">cc_in_focus * cc_show_type * cc_show_remaining_budget * IF(cc_delta&gt;0, cc_delta, 0)</f>
        <v>2650</v>
      </c>
      <c r="O73" s="96">
        <f ca="1">cc_in_focus * cc_show_type * IF(cc_delta&lt;0, ABS(cc_delta), 0)</f>
        <v>0</v>
      </c>
      <c r="P73" s="96">
        <f ca="1">NOT(cc_in_focus) * cc_show_type * MIN(cc_tracked, cc_budget)</f>
        <v>0</v>
      </c>
      <c r="Q73" s="96">
        <f ca="1">NOT(cc_in_focus) * cc_show_type * cc_show_remaining_budget * IF(cc_delta&gt;0, cc_delta, 0)</f>
        <v>0</v>
      </c>
      <c r="R73" s="96">
        <f ca="1">NOT(cc_in_focus) * cc_show_type * IF(cc_delta&lt;0, ABS(cc_delta), 0)</f>
        <v>0</v>
      </c>
    </row>
    <row r="74" spans="4:18" x14ac:dyDescent="0.25">
      <c r="D74" s="90"/>
      <c r="E74" s="93"/>
      <c r="F74" s="93"/>
      <c r="G74" s="93"/>
      <c r="H74" s="93"/>
      <c r="I74" s="93"/>
      <c r="J74" s="97"/>
      <c r="K74" s="97"/>
      <c r="L74" s="97"/>
      <c r="M74" s="97"/>
      <c r="N74" s="97"/>
      <c r="O74" s="97"/>
      <c r="P74" s="97"/>
      <c r="Q74" s="97"/>
      <c r="R74" s="97"/>
    </row>
    <row r="75" spans="4:18" x14ac:dyDescent="0.25">
      <c r="D75" s="88">
        <f ca="1">DATE(selected_year, 6, 1)</f>
        <v>45809</v>
      </c>
      <c r="E75" s="91" t="s">
        <v>4</v>
      </c>
      <c r="F75" s="92">
        <f t="shared" ref="F75:F102" ca="1" si="28">MONTH(D75)</f>
        <v>6</v>
      </c>
      <c r="G75" s="92">
        <f>IF(selected_period="Total Year", 1, IF(selected_period=cc_month_number, 1, 0))</f>
        <v>1</v>
      </c>
      <c r="H75" s="92">
        <f t="shared" ref="H75" si="29">1*$E$49</f>
        <v>1</v>
      </c>
      <c r="I75" s="92">
        <f t="shared" ref="I75" si="30">1*$E$52</f>
        <v>1</v>
      </c>
      <c r="J75" s="96" cm="1">
        <f t="array" aca="1" ref="J75" ca="1">SUM(Tracking[Amount] * (Tracking[Type]=cc_type) * (YEAR(Tracking[Effective Date])=selected_year) * (MONTH(Tracking[Effective Date])=cc_month_number))</f>
        <v>0</v>
      </c>
      <c r="K75" s="96" cm="1">
        <f t="array" aca="1" ref="K75" ca="1">INDEX('Budget Planning'!$E:$EM, income_total_row, MATCH(DATE(selected_year, cc_month_number, 1), 'Budget Planning'!$E$9:$EM$9, 0))</f>
        <v>5600</v>
      </c>
      <c r="L75" s="96">
        <f ca="1">cc_budget-cc_tracked</f>
        <v>5600</v>
      </c>
      <c r="M75" s="96">
        <f ca="1">cc_in_focus * cc_show_type * MIN(cc_tracked, cc_budget)</f>
        <v>0</v>
      </c>
      <c r="N75" s="96">
        <f ca="1">cc_in_focus * cc_show_type * cc_show_remaining_budget * IF(cc_delta&gt;0, cc_delta, 0)</f>
        <v>5600</v>
      </c>
      <c r="O75" s="96">
        <f ca="1">cc_in_focus * cc_show_type * IF(cc_delta&lt;0, ABS(cc_delta), 0)</f>
        <v>0</v>
      </c>
      <c r="P75" s="96">
        <f ca="1">NOT(cc_in_focus) * cc_show_type * MIN(cc_tracked, cc_budget)</f>
        <v>0</v>
      </c>
      <c r="Q75" s="96">
        <f ca="1">NOT(cc_in_focus) * cc_show_type * cc_show_remaining_budget * IF(cc_delta&gt;0, cc_delta, 0)</f>
        <v>0</v>
      </c>
      <c r="R75" s="96">
        <f ca="1">NOT(cc_in_focus) * cc_show_type * IF(cc_delta&lt;0, ABS(cc_delta), 0)</f>
        <v>0</v>
      </c>
    </row>
    <row r="76" spans="4:18" x14ac:dyDescent="0.25">
      <c r="D76" s="89"/>
      <c r="E76" s="92" t="s">
        <v>8</v>
      </c>
      <c r="F76" s="92">
        <f t="shared" ref="F76:F102" ca="1" si="31">MONTH(D75)</f>
        <v>6</v>
      </c>
      <c r="G76" s="92">
        <f>IF(selected_period="Total Year", 1, IF(selected_period=cc_month_number, 1, 0))</f>
        <v>1</v>
      </c>
      <c r="H76" s="92">
        <f t="shared" ref="H76" si="32">1*$E$50</f>
        <v>1</v>
      </c>
      <c r="I76" s="92">
        <f t="shared" si="3"/>
        <v>1</v>
      </c>
      <c r="J76" s="96" cm="1">
        <f t="array" aca="1" ref="J76" ca="1">SUM(Tracking[Amount] * (Tracking[Type]=cc_type) * (YEAR(Tracking[Effective Date])=selected_year) * (MONTH(Tracking[Effective Date])=cc_month_number))</f>
        <v>0</v>
      </c>
      <c r="K76" s="96" cm="1">
        <f t="array" aca="1" ref="K76" ca="1">INDEX('Budget Planning'!$E:$EM, expenses_total_row, MATCH(DATE(selected_year, cc_month_number, 1), 'Budget Planning'!$E$9:$EM$9, 0))</f>
        <v>3050</v>
      </c>
      <c r="L76" s="96">
        <f ca="1">cc_budget-cc_tracked</f>
        <v>3050</v>
      </c>
      <c r="M76" s="96">
        <f ca="1">cc_in_focus * cc_show_type * MIN(cc_tracked, cc_budget)</f>
        <v>0</v>
      </c>
      <c r="N76" s="96">
        <f ca="1">cc_in_focus * cc_show_type * cc_show_remaining_budget * IF(cc_delta&gt;0, cc_delta, 0)</f>
        <v>3050</v>
      </c>
      <c r="O76" s="96">
        <f ca="1">cc_in_focus * cc_show_type * IF(cc_delta&lt;0, ABS(cc_delta), 0)</f>
        <v>0</v>
      </c>
      <c r="P76" s="96">
        <f ca="1">NOT(cc_in_focus) * cc_show_type * MIN(cc_tracked, cc_budget)</f>
        <v>0</v>
      </c>
      <c r="Q76" s="96">
        <f ca="1">NOT(cc_in_focus) * cc_show_type * cc_show_remaining_budget * IF(cc_delta&gt;0, cc_delta, 0)</f>
        <v>0</v>
      </c>
      <c r="R76" s="96">
        <f ca="1">NOT(cc_in_focus) * cc_show_type * IF(cc_delta&lt;0, ABS(cc_delta), 0)</f>
        <v>0</v>
      </c>
    </row>
    <row r="77" spans="4:18" x14ac:dyDescent="0.25">
      <c r="D77" s="89"/>
      <c r="E77" s="92" t="s">
        <v>13</v>
      </c>
      <c r="F77" s="92">
        <f t="shared" ref="F77" ca="1" si="33">MONTH(D75)</f>
        <v>6</v>
      </c>
      <c r="G77" s="92">
        <f>IF(selected_period="Total Year", 1, IF(selected_period=cc_month_number, 1, 0))</f>
        <v>1</v>
      </c>
      <c r="H77" s="92">
        <f t="shared" ref="H77" si="34">1*$E$51</f>
        <v>1</v>
      </c>
      <c r="I77" s="92">
        <f t="shared" si="3"/>
        <v>1</v>
      </c>
      <c r="J77" s="96" cm="1">
        <f t="array" aca="1" ref="J77" ca="1">SUM(Tracking[Amount] * (Tracking[Type]=cc_type) * (YEAR(Tracking[Effective Date])=selected_year) * (MONTH(Tracking[Effective Date])=cc_month_number))</f>
        <v>0</v>
      </c>
      <c r="K77" s="96" cm="1">
        <f t="array" aca="1" ref="K77" ca="1">INDEX('Budget Planning'!$E:$EM, savings_total_row, MATCH(DATE(selected_year, cc_month_number, 1), 'Budget Planning'!$E$9:$EM$9, 0))</f>
        <v>2550</v>
      </c>
      <c r="L77" s="96">
        <f ca="1">cc_budget-cc_tracked</f>
        <v>2550</v>
      </c>
      <c r="M77" s="96">
        <f ca="1">cc_in_focus * cc_show_type * MIN(cc_tracked, cc_budget)</f>
        <v>0</v>
      </c>
      <c r="N77" s="96">
        <f ca="1">cc_in_focus * cc_show_type * cc_show_remaining_budget * IF(cc_delta&gt;0, cc_delta, 0)</f>
        <v>2550</v>
      </c>
      <c r="O77" s="96">
        <f ca="1">cc_in_focus * cc_show_type * IF(cc_delta&lt;0, ABS(cc_delta), 0)</f>
        <v>0</v>
      </c>
      <c r="P77" s="96">
        <f ca="1">NOT(cc_in_focus) * cc_show_type * MIN(cc_tracked, cc_budget)</f>
        <v>0</v>
      </c>
      <c r="Q77" s="96">
        <f ca="1">NOT(cc_in_focus) * cc_show_type * cc_show_remaining_budget * IF(cc_delta&gt;0, cc_delta, 0)</f>
        <v>0</v>
      </c>
      <c r="R77" s="96">
        <f ca="1">NOT(cc_in_focus) * cc_show_type * IF(cc_delta&lt;0, ABS(cc_delta), 0)</f>
        <v>0</v>
      </c>
    </row>
    <row r="78" spans="4:18" x14ac:dyDescent="0.25">
      <c r="D78" s="90"/>
      <c r="E78" s="93"/>
      <c r="F78" s="93"/>
      <c r="G78" s="93"/>
      <c r="H78" s="93"/>
      <c r="I78" s="93"/>
      <c r="J78" s="97"/>
      <c r="K78" s="97"/>
      <c r="L78" s="97"/>
      <c r="M78" s="97"/>
      <c r="N78" s="97"/>
      <c r="O78" s="97"/>
      <c r="P78" s="97"/>
      <c r="Q78" s="97"/>
      <c r="R78" s="97"/>
    </row>
    <row r="79" spans="4:18" x14ac:dyDescent="0.25">
      <c r="D79" s="88">
        <f ca="1">DATE(selected_year, 7, 1)</f>
        <v>45839</v>
      </c>
      <c r="E79" s="91" t="s">
        <v>4</v>
      </c>
      <c r="F79" s="92">
        <f t="shared" ref="F79:F102" ca="1" si="35">MONTH(D79)</f>
        <v>7</v>
      </c>
      <c r="G79" s="92">
        <f>IF(selected_period="Total Year", 1, IF(selected_period=cc_month_number, 1, 0))</f>
        <v>1</v>
      </c>
      <c r="H79" s="92">
        <f t="shared" ref="H79" si="36">1*$E$49</f>
        <v>1</v>
      </c>
      <c r="I79" s="92">
        <f t="shared" ref="I79" si="37">1*$E$52</f>
        <v>1</v>
      </c>
      <c r="J79" s="96" cm="1">
        <f t="array" aca="1" ref="J79" ca="1">SUM(Tracking[Amount] * (Tracking[Type]=cc_type) * (YEAR(Tracking[Effective Date])=selected_year) * (MONTH(Tracking[Effective Date])=cc_month_number))</f>
        <v>0</v>
      </c>
      <c r="K79" s="96" cm="1">
        <f t="array" aca="1" ref="K79" ca="1">INDEX('Budget Planning'!$E:$EM, income_total_row, MATCH(DATE(selected_year, cc_month_number, 1), 'Budget Planning'!$E$9:$EM$9, 0))</f>
        <v>5650</v>
      </c>
      <c r="L79" s="96">
        <f ca="1">cc_budget-cc_tracked</f>
        <v>5650</v>
      </c>
      <c r="M79" s="96">
        <f ca="1">cc_in_focus * cc_show_type * MIN(cc_tracked, cc_budget)</f>
        <v>0</v>
      </c>
      <c r="N79" s="96">
        <f ca="1">cc_in_focus * cc_show_type * cc_show_remaining_budget * IF(cc_delta&gt;0, cc_delta, 0)</f>
        <v>5650</v>
      </c>
      <c r="O79" s="96">
        <f ca="1">cc_in_focus * cc_show_type * IF(cc_delta&lt;0, ABS(cc_delta), 0)</f>
        <v>0</v>
      </c>
      <c r="P79" s="96">
        <f ca="1">NOT(cc_in_focus) * cc_show_type * MIN(cc_tracked, cc_budget)</f>
        <v>0</v>
      </c>
      <c r="Q79" s="96">
        <f ca="1">NOT(cc_in_focus) * cc_show_type * cc_show_remaining_budget * IF(cc_delta&gt;0, cc_delta, 0)</f>
        <v>0</v>
      </c>
      <c r="R79" s="96">
        <f ca="1">NOT(cc_in_focus) * cc_show_type * IF(cc_delta&lt;0, ABS(cc_delta), 0)</f>
        <v>0</v>
      </c>
    </row>
    <row r="80" spans="4:18" x14ac:dyDescent="0.25">
      <c r="D80" s="89"/>
      <c r="E80" s="92" t="s">
        <v>8</v>
      </c>
      <c r="F80" s="92">
        <f t="shared" ref="F80:F102" ca="1" si="38">MONTH(D79)</f>
        <v>7</v>
      </c>
      <c r="G80" s="92">
        <f>IF(selected_period="Total Year", 1, IF(selected_period=cc_month_number, 1, 0))</f>
        <v>1</v>
      </c>
      <c r="H80" s="92">
        <f t="shared" ref="H80" si="39">1*$E$50</f>
        <v>1</v>
      </c>
      <c r="I80" s="92">
        <f t="shared" si="3"/>
        <v>1</v>
      </c>
      <c r="J80" s="96" cm="1">
        <f t="array" aca="1" ref="J80" ca="1">SUM(Tracking[Amount] * (Tracking[Type]=cc_type) * (YEAR(Tracking[Effective Date])=selected_year) * (MONTH(Tracking[Effective Date])=cc_month_number))</f>
        <v>0</v>
      </c>
      <c r="K80" s="96" cm="1">
        <f t="array" aca="1" ref="K80" ca="1">INDEX('Budget Planning'!$E:$EM, expenses_total_row, MATCH(DATE(selected_year, cc_month_number, 1), 'Budget Planning'!$E$9:$EM$9, 0))</f>
        <v>2900</v>
      </c>
      <c r="L80" s="96">
        <f ca="1">cc_budget-cc_tracked</f>
        <v>2900</v>
      </c>
      <c r="M80" s="96">
        <f ca="1">cc_in_focus * cc_show_type * MIN(cc_tracked, cc_budget)</f>
        <v>0</v>
      </c>
      <c r="N80" s="96">
        <f ca="1">cc_in_focus * cc_show_type * cc_show_remaining_budget * IF(cc_delta&gt;0, cc_delta, 0)</f>
        <v>2900</v>
      </c>
      <c r="O80" s="96">
        <f ca="1">cc_in_focus * cc_show_type * IF(cc_delta&lt;0, ABS(cc_delta), 0)</f>
        <v>0</v>
      </c>
      <c r="P80" s="96">
        <f ca="1">NOT(cc_in_focus) * cc_show_type * MIN(cc_tracked, cc_budget)</f>
        <v>0</v>
      </c>
      <c r="Q80" s="96">
        <f ca="1">NOT(cc_in_focus) * cc_show_type * cc_show_remaining_budget * IF(cc_delta&gt;0, cc_delta, 0)</f>
        <v>0</v>
      </c>
      <c r="R80" s="96">
        <f ca="1">NOT(cc_in_focus) * cc_show_type * IF(cc_delta&lt;0, ABS(cc_delta), 0)</f>
        <v>0</v>
      </c>
    </row>
    <row r="81" spans="4:18" x14ac:dyDescent="0.25">
      <c r="D81" s="89"/>
      <c r="E81" s="92" t="s">
        <v>13</v>
      </c>
      <c r="F81" s="92">
        <f t="shared" ref="F81" ca="1" si="40">MONTH(D79)</f>
        <v>7</v>
      </c>
      <c r="G81" s="92">
        <f>IF(selected_period="Total Year", 1, IF(selected_period=cc_month_number, 1, 0))</f>
        <v>1</v>
      </c>
      <c r="H81" s="92">
        <f t="shared" ref="H81" si="41">1*$E$51</f>
        <v>1</v>
      </c>
      <c r="I81" s="92">
        <f t="shared" si="3"/>
        <v>1</v>
      </c>
      <c r="J81" s="96" cm="1">
        <f t="array" aca="1" ref="J81" ca="1">SUM(Tracking[Amount] * (Tracking[Type]=cc_type) * (YEAR(Tracking[Effective Date])=selected_year) * (MONTH(Tracking[Effective Date])=cc_month_number))</f>
        <v>0</v>
      </c>
      <c r="K81" s="96" cm="1">
        <f t="array" aca="1" ref="K81" ca="1">INDEX('Budget Planning'!$E:$EM, savings_total_row, MATCH(DATE(selected_year, cc_month_number, 1), 'Budget Planning'!$E$9:$EM$9, 0))</f>
        <v>2750</v>
      </c>
      <c r="L81" s="96">
        <f ca="1">cc_budget-cc_tracked</f>
        <v>2750</v>
      </c>
      <c r="M81" s="96">
        <f ca="1">cc_in_focus * cc_show_type * MIN(cc_tracked, cc_budget)</f>
        <v>0</v>
      </c>
      <c r="N81" s="96">
        <f ca="1">cc_in_focus * cc_show_type * cc_show_remaining_budget * IF(cc_delta&gt;0, cc_delta, 0)</f>
        <v>2750</v>
      </c>
      <c r="O81" s="96">
        <f ca="1">cc_in_focus * cc_show_type * IF(cc_delta&lt;0, ABS(cc_delta), 0)</f>
        <v>0</v>
      </c>
      <c r="P81" s="96">
        <f ca="1">NOT(cc_in_focus) * cc_show_type * MIN(cc_tracked, cc_budget)</f>
        <v>0</v>
      </c>
      <c r="Q81" s="96">
        <f ca="1">NOT(cc_in_focus) * cc_show_type * cc_show_remaining_budget * IF(cc_delta&gt;0, cc_delta, 0)</f>
        <v>0</v>
      </c>
      <c r="R81" s="96">
        <f ca="1">NOT(cc_in_focus) * cc_show_type * IF(cc_delta&lt;0, ABS(cc_delta), 0)</f>
        <v>0</v>
      </c>
    </row>
    <row r="82" spans="4:18" x14ac:dyDescent="0.25">
      <c r="D82" s="90"/>
      <c r="E82" s="93"/>
      <c r="F82" s="93"/>
      <c r="G82" s="93"/>
      <c r="H82" s="93"/>
      <c r="I82" s="93"/>
      <c r="J82" s="97"/>
      <c r="K82" s="97"/>
      <c r="L82" s="97"/>
      <c r="M82" s="97"/>
      <c r="N82" s="97"/>
      <c r="O82" s="97"/>
      <c r="P82" s="97"/>
      <c r="Q82" s="97"/>
      <c r="R82" s="97"/>
    </row>
    <row r="83" spans="4:18" x14ac:dyDescent="0.25">
      <c r="D83" s="88">
        <f ca="1">DATE(selected_year, 8, 1)</f>
        <v>45870</v>
      </c>
      <c r="E83" s="91" t="s">
        <v>4</v>
      </c>
      <c r="F83" s="92">
        <f t="shared" ref="F83:F102" ca="1" si="42">MONTH(D83)</f>
        <v>8</v>
      </c>
      <c r="G83" s="92">
        <f>IF(selected_period="Total Year", 1, IF(selected_period=cc_month_number, 1, 0))</f>
        <v>1</v>
      </c>
      <c r="H83" s="92">
        <f t="shared" ref="H83" si="43">1*$E$49</f>
        <v>1</v>
      </c>
      <c r="I83" s="92">
        <f t="shared" ref="I83" si="44">1*$E$52</f>
        <v>1</v>
      </c>
      <c r="J83" s="96" cm="1">
        <f t="array" aca="1" ref="J83" ca="1">SUM(Tracking[Amount] * (Tracking[Type]=cc_type) * (YEAR(Tracking[Effective Date])=selected_year) * (MONTH(Tracking[Effective Date])=cc_month_number))</f>
        <v>0</v>
      </c>
      <c r="K83" s="96" cm="1">
        <f t="array" aca="1" ref="K83" ca="1">INDEX('Budget Planning'!$E:$EM, income_total_row, MATCH(DATE(selected_year, cc_month_number, 1), 'Budget Planning'!$E$9:$EM$9, 0))</f>
        <v>5550</v>
      </c>
      <c r="L83" s="96">
        <f ca="1">cc_budget-cc_tracked</f>
        <v>5550</v>
      </c>
      <c r="M83" s="96">
        <f ca="1">cc_in_focus * cc_show_type * MIN(cc_tracked, cc_budget)</f>
        <v>0</v>
      </c>
      <c r="N83" s="96">
        <f ca="1">cc_in_focus * cc_show_type * cc_show_remaining_budget * IF(cc_delta&gt;0, cc_delta, 0)</f>
        <v>5550</v>
      </c>
      <c r="O83" s="96">
        <f ca="1">cc_in_focus * cc_show_type * IF(cc_delta&lt;0, ABS(cc_delta), 0)</f>
        <v>0</v>
      </c>
      <c r="P83" s="96">
        <f ca="1">NOT(cc_in_focus) * cc_show_type * MIN(cc_tracked, cc_budget)</f>
        <v>0</v>
      </c>
      <c r="Q83" s="96">
        <f ca="1">NOT(cc_in_focus) * cc_show_type * cc_show_remaining_budget * IF(cc_delta&gt;0, cc_delta, 0)</f>
        <v>0</v>
      </c>
      <c r="R83" s="96">
        <f ca="1">NOT(cc_in_focus) * cc_show_type * IF(cc_delta&lt;0, ABS(cc_delta), 0)</f>
        <v>0</v>
      </c>
    </row>
    <row r="84" spans="4:18" x14ac:dyDescent="0.25">
      <c r="D84" s="89"/>
      <c r="E84" s="92" t="s">
        <v>8</v>
      </c>
      <c r="F84" s="92">
        <f t="shared" ref="F84:F102" ca="1" si="45">MONTH(D83)</f>
        <v>8</v>
      </c>
      <c r="G84" s="92">
        <f>IF(selected_period="Total Year", 1, IF(selected_period=cc_month_number, 1, 0))</f>
        <v>1</v>
      </c>
      <c r="H84" s="92">
        <f t="shared" ref="H84" si="46">1*$E$50</f>
        <v>1</v>
      </c>
      <c r="I84" s="92">
        <f t="shared" si="3"/>
        <v>1</v>
      </c>
      <c r="J84" s="96" cm="1">
        <f t="array" aca="1" ref="J84" ca="1">SUM(Tracking[Amount] * (Tracking[Type]=cc_type) * (YEAR(Tracking[Effective Date])=selected_year) * (MONTH(Tracking[Effective Date])=cc_month_number))</f>
        <v>0</v>
      </c>
      <c r="K84" s="96" cm="1">
        <f t="array" aca="1" ref="K84" ca="1">INDEX('Budget Planning'!$E:$EM, expenses_total_row, MATCH(DATE(selected_year, cc_month_number, 1), 'Budget Planning'!$E$9:$EM$9, 0))</f>
        <v>4100</v>
      </c>
      <c r="L84" s="96">
        <f ca="1">cc_budget-cc_tracked</f>
        <v>4100</v>
      </c>
      <c r="M84" s="96">
        <f ca="1">cc_in_focus * cc_show_type * MIN(cc_tracked, cc_budget)</f>
        <v>0</v>
      </c>
      <c r="N84" s="96">
        <f ca="1">cc_in_focus * cc_show_type * cc_show_remaining_budget * IF(cc_delta&gt;0, cc_delta, 0)</f>
        <v>4100</v>
      </c>
      <c r="O84" s="96">
        <f ca="1">cc_in_focus * cc_show_type * IF(cc_delta&lt;0, ABS(cc_delta), 0)</f>
        <v>0</v>
      </c>
      <c r="P84" s="96">
        <f ca="1">NOT(cc_in_focus) * cc_show_type * MIN(cc_tracked, cc_budget)</f>
        <v>0</v>
      </c>
      <c r="Q84" s="96">
        <f ca="1">NOT(cc_in_focus) * cc_show_type * cc_show_remaining_budget * IF(cc_delta&gt;0, cc_delta, 0)</f>
        <v>0</v>
      </c>
      <c r="R84" s="96">
        <f ca="1">NOT(cc_in_focus) * cc_show_type * IF(cc_delta&lt;0, ABS(cc_delta), 0)</f>
        <v>0</v>
      </c>
    </row>
    <row r="85" spans="4:18" x14ac:dyDescent="0.25">
      <c r="D85" s="89"/>
      <c r="E85" s="92" t="s">
        <v>13</v>
      </c>
      <c r="F85" s="92">
        <f t="shared" ref="F85" ca="1" si="47">MONTH(D83)</f>
        <v>8</v>
      </c>
      <c r="G85" s="92">
        <f>IF(selected_period="Total Year", 1, IF(selected_period=cc_month_number, 1, 0))</f>
        <v>1</v>
      </c>
      <c r="H85" s="92">
        <f t="shared" ref="H85" si="48">1*$E$51</f>
        <v>1</v>
      </c>
      <c r="I85" s="92">
        <f t="shared" si="3"/>
        <v>1</v>
      </c>
      <c r="J85" s="96" cm="1">
        <f t="array" aca="1" ref="J85" ca="1">SUM(Tracking[Amount] * (Tracking[Type]=cc_type) * (YEAR(Tracking[Effective Date])=selected_year) * (MONTH(Tracking[Effective Date])=cc_month_number))</f>
        <v>0</v>
      </c>
      <c r="K85" s="96" cm="1">
        <f t="array" aca="1" ref="K85" ca="1">INDEX('Budget Planning'!$E:$EM, savings_total_row, MATCH(DATE(selected_year, cc_month_number, 1), 'Budget Planning'!$E$9:$EM$9, 0))</f>
        <v>1450</v>
      </c>
      <c r="L85" s="96">
        <f ca="1">cc_budget-cc_tracked</f>
        <v>1450</v>
      </c>
      <c r="M85" s="96">
        <f ca="1">cc_in_focus * cc_show_type * MIN(cc_tracked, cc_budget)</f>
        <v>0</v>
      </c>
      <c r="N85" s="96">
        <f ca="1">cc_in_focus * cc_show_type * cc_show_remaining_budget * IF(cc_delta&gt;0, cc_delta, 0)</f>
        <v>1450</v>
      </c>
      <c r="O85" s="96">
        <f ca="1">cc_in_focus * cc_show_type * IF(cc_delta&lt;0, ABS(cc_delta), 0)</f>
        <v>0</v>
      </c>
      <c r="P85" s="96">
        <f ca="1">NOT(cc_in_focus) * cc_show_type * MIN(cc_tracked, cc_budget)</f>
        <v>0</v>
      </c>
      <c r="Q85" s="96">
        <f ca="1">NOT(cc_in_focus) * cc_show_type * cc_show_remaining_budget * IF(cc_delta&gt;0, cc_delta, 0)</f>
        <v>0</v>
      </c>
      <c r="R85" s="96">
        <f ca="1">NOT(cc_in_focus) * cc_show_type * IF(cc_delta&lt;0, ABS(cc_delta), 0)</f>
        <v>0</v>
      </c>
    </row>
    <row r="86" spans="4:18" x14ac:dyDescent="0.25">
      <c r="D86" s="90"/>
      <c r="E86" s="93"/>
      <c r="F86" s="93"/>
      <c r="G86" s="93"/>
      <c r="H86" s="93"/>
      <c r="I86" s="93"/>
      <c r="J86" s="97"/>
      <c r="K86" s="97"/>
      <c r="L86" s="97"/>
      <c r="M86" s="97"/>
      <c r="N86" s="97"/>
      <c r="O86" s="97"/>
      <c r="P86" s="97"/>
      <c r="Q86" s="97"/>
      <c r="R86" s="97"/>
    </row>
    <row r="87" spans="4:18" x14ac:dyDescent="0.25">
      <c r="D87" s="88">
        <f ca="1">DATE(selected_year, 9, 1)</f>
        <v>45901</v>
      </c>
      <c r="E87" s="91" t="s">
        <v>4</v>
      </c>
      <c r="F87" s="92">
        <f t="shared" ref="F87:F102" ca="1" si="49">MONTH(D87)</f>
        <v>9</v>
      </c>
      <c r="G87" s="92">
        <f>IF(selected_period="Total Year", 1, IF(selected_period=cc_month_number, 1, 0))</f>
        <v>1</v>
      </c>
      <c r="H87" s="92">
        <f t="shared" ref="H87" si="50">1*$E$49</f>
        <v>1</v>
      </c>
      <c r="I87" s="92">
        <f t="shared" ref="I87" si="51">1*$E$52</f>
        <v>1</v>
      </c>
      <c r="J87" s="96" cm="1">
        <f t="array" aca="1" ref="J87" ca="1">SUM(Tracking[Amount] * (Tracking[Type]=cc_type) * (YEAR(Tracking[Effective Date])=selected_year) * (MONTH(Tracking[Effective Date])=cc_month_number))</f>
        <v>0</v>
      </c>
      <c r="K87" s="96" cm="1">
        <f t="array" aca="1" ref="K87" ca="1">INDEX('Budget Planning'!$E:$EM, income_total_row, MATCH(DATE(selected_year, cc_month_number, 1), 'Budget Planning'!$E$9:$EM$9, 0))</f>
        <v>5600</v>
      </c>
      <c r="L87" s="96">
        <f ca="1">cc_budget-cc_tracked</f>
        <v>5600</v>
      </c>
      <c r="M87" s="96">
        <f ca="1">cc_in_focus * cc_show_type * MIN(cc_tracked, cc_budget)</f>
        <v>0</v>
      </c>
      <c r="N87" s="96">
        <f ca="1">cc_in_focus * cc_show_type * cc_show_remaining_budget * IF(cc_delta&gt;0, cc_delta, 0)</f>
        <v>5600</v>
      </c>
      <c r="O87" s="96">
        <f ca="1">cc_in_focus * cc_show_type * IF(cc_delta&lt;0, ABS(cc_delta), 0)</f>
        <v>0</v>
      </c>
      <c r="P87" s="96">
        <f ca="1">NOT(cc_in_focus) * cc_show_type * MIN(cc_tracked, cc_budget)</f>
        <v>0</v>
      </c>
      <c r="Q87" s="96">
        <f ca="1">NOT(cc_in_focus) * cc_show_type * cc_show_remaining_budget * IF(cc_delta&gt;0, cc_delta, 0)</f>
        <v>0</v>
      </c>
      <c r="R87" s="96">
        <f ca="1">NOT(cc_in_focus) * cc_show_type * IF(cc_delta&lt;0, ABS(cc_delta), 0)</f>
        <v>0</v>
      </c>
    </row>
    <row r="88" spans="4:18" x14ac:dyDescent="0.25">
      <c r="D88" s="89"/>
      <c r="E88" s="92" t="s">
        <v>8</v>
      </c>
      <c r="F88" s="92">
        <f t="shared" ref="F88:F102" ca="1" si="52">MONTH(D87)</f>
        <v>9</v>
      </c>
      <c r="G88" s="92">
        <f>IF(selected_period="Total Year", 1, IF(selected_period=cc_month_number, 1, 0))</f>
        <v>1</v>
      </c>
      <c r="H88" s="92">
        <f t="shared" ref="H88" si="53">1*$E$50</f>
        <v>1</v>
      </c>
      <c r="I88" s="92">
        <f t="shared" si="3"/>
        <v>1</v>
      </c>
      <c r="J88" s="96" cm="1">
        <f t="array" aca="1" ref="J88" ca="1">SUM(Tracking[Amount] * (Tracking[Type]=cc_type) * (YEAR(Tracking[Effective Date])=selected_year) * (MONTH(Tracking[Effective Date])=cc_month_number))</f>
        <v>0</v>
      </c>
      <c r="K88" s="96" cm="1">
        <f t="array" aca="1" ref="K88" ca="1">INDEX('Budget Planning'!$E:$EM, expenses_total_row, MATCH(DATE(selected_year, cc_month_number, 1), 'Budget Planning'!$E$9:$EM$9, 0))</f>
        <v>3050</v>
      </c>
      <c r="L88" s="96">
        <f ca="1">cc_budget-cc_tracked</f>
        <v>3050</v>
      </c>
      <c r="M88" s="96">
        <f ca="1">cc_in_focus * cc_show_type * MIN(cc_tracked, cc_budget)</f>
        <v>0</v>
      </c>
      <c r="N88" s="96">
        <f ca="1">cc_in_focus * cc_show_type * cc_show_remaining_budget * IF(cc_delta&gt;0, cc_delta, 0)</f>
        <v>3050</v>
      </c>
      <c r="O88" s="96">
        <f ca="1">cc_in_focus * cc_show_type * IF(cc_delta&lt;0, ABS(cc_delta), 0)</f>
        <v>0</v>
      </c>
      <c r="P88" s="96">
        <f ca="1">NOT(cc_in_focus) * cc_show_type * MIN(cc_tracked, cc_budget)</f>
        <v>0</v>
      </c>
      <c r="Q88" s="96">
        <f ca="1">NOT(cc_in_focus) * cc_show_type * cc_show_remaining_budget * IF(cc_delta&gt;0, cc_delta, 0)</f>
        <v>0</v>
      </c>
      <c r="R88" s="96">
        <f ca="1">NOT(cc_in_focus) * cc_show_type * IF(cc_delta&lt;0, ABS(cc_delta), 0)</f>
        <v>0</v>
      </c>
    </row>
    <row r="89" spans="4:18" x14ac:dyDescent="0.25">
      <c r="D89" s="89"/>
      <c r="E89" s="92" t="s">
        <v>13</v>
      </c>
      <c r="F89" s="92">
        <f t="shared" ref="F89" ca="1" si="54">MONTH(D87)</f>
        <v>9</v>
      </c>
      <c r="G89" s="92">
        <f>IF(selected_period="Total Year", 1, IF(selected_period=cc_month_number, 1, 0))</f>
        <v>1</v>
      </c>
      <c r="H89" s="92">
        <f t="shared" ref="H89" si="55">1*$E$51</f>
        <v>1</v>
      </c>
      <c r="I89" s="92">
        <f t="shared" si="3"/>
        <v>1</v>
      </c>
      <c r="J89" s="96" cm="1">
        <f t="array" aca="1" ref="J89" ca="1">SUM(Tracking[Amount] * (Tracking[Type]=cc_type) * (YEAR(Tracking[Effective Date])=selected_year) * (MONTH(Tracking[Effective Date])=cc_month_number))</f>
        <v>0</v>
      </c>
      <c r="K89" s="96" cm="1">
        <f t="array" aca="1" ref="K89" ca="1">INDEX('Budget Planning'!$E:$EM, savings_total_row, MATCH(DATE(selected_year, cc_month_number, 1), 'Budget Planning'!$E$9:$EM$9, 0))</f>
        <v>2550</v>
      </c>
      <c r="L89" s="96">
        <f ca="1">cc_budget-cc_tracked</f>
        <v>2550</v>
      </c>
      <c r="M89" s="96">
        <f ca="1">cc_in_focus * cc_show_type * MIN(cc_tracked, cc_budget)</f>
        <v>0</v>
      </c>
      <c r="N89" s="96">
        <f ca="1">cc_in_focus * cc_show_type * cc_show_remaining_budget * IF(cc_delta&gt;0, cc_delta, 0)</f>
        <v>2550</v>
      </c>
      <c r="O89" s="96">
        <f ca="1">cc_in_focus * cc_show_type * IF(cc_delta&lt;0, ABS(cc_delta), 0)</f>
        <v>0</v>
      </c>
      <c r="P89" s="96">
        <f ca="1">NOT(cc_in_focus) * cc_show_type * MIN(cc_tracked, cc_budget)</f>
        <v>0</v>
      </c>
      <c r="Q89" s="96">
        <f ca="1">NOT(cc_in_focus) * cc_show_type * cc_show_remaining_budget * IF(cc_delta&gt;0, cc_delta, 0)</f>
        <v>0</v>
      </c>
      <c r="R89" s="96">
        <f ca="1">NOT(cc_in_focus) * cc_show_type * IF(cc_delta&lt;0, ABS(cc_delta), 0)</f>
        <v>0</v>
      </c>
    </row>
    <row r="90" spans="4:18" x14ac:dyDescent="0.25">
      <c r="D90" s="90"/>
      <c r="E90" s="93"/>
      <c r="F90" s="93"/>
      <c r="G90" s="93"/>
      <c r="H90" s="93"/>
      <c r="I90" s="93"/>
      <c r="J90" s="97"/>
      <c r="K90" s="97"/>
      <c r="L90" s="97"/>
      <c r="M90" s="97"/>
      <c r="N90" s="97"/>
      <c r="O90" s="97"/>
      <c r="P90" s="97"/>
      <c r="Q90" s="97"/>
      <c r="R90" s="97"/>
    </row>
    <row r="91" spans="4:18" x14ac:dyDescent="0.25">
      <c r="D91" s="88">
        <f ca="1">DATE(selected_year, 10, 1)</f>
        <v>45931</v>
      </c>
      <c r="E91" s="91" t="s">
        <v>4</v>
      </c>
      <c r="F91" s="92">
        <f t="shared" ref="F91:F102" ca="1" si="56">MONTH(D91)</f>
        <v>10</v>
      </c>
      <c r="G91" s="92">
        <f>IF(selected_period="Total Year", 1, IF(selected_period=cc_month_number, 1, 0))</f>
        <v>1</v>
      </c>
      <c r="H91" s="92">
        <f t="shared" ref="H91" si="57">1*$E$49</f>
        <v>1</v>
      </c>
      <c r="I91" s="92">
        <f t="shared" ref="I91" si="58">1*$E$52</f>
        <v>1</v>
      </c>
      <c r="J91" s="96" cm="1">
        <f t="array" aca="1" ref="J91" ca="1">SUM(Tracking[Amount] * (Tracking[Type]=cc_type) * (YEAR(Tracking[Effective Date])=selected_year) * (MONTH(Tracking[Effective Date])=cc_month_number))</f>
        <v>0</v>
      </c>
      <c r="K91" s="96" cm="1">
        <f t="array" aca="1" ref="K91" ca="1">INDEX('Budget Planning'!$E:$EM, income_total_row, MATCH(DATE(selected_year, cc_month_number, 1), 'Budget Planning'!$E$9:$EM$9, 0))</f>
        <v>5650</v>
      </c>
      <c r="L91" s="96">
        <f ca="1">cc_budget-cc_tracked</f>
        <v>5650</v>
      </c>
      <c r="M91" s="96">
        <f ca="1">cc_in_focus * cc_show_type * MIN(cc_tracked, cc_budget)</f>
        <v>0</v>
      </c>
      <c r="N91" s="96">
        <f ca="1">cc_in_focus * cc_show_type * cc_show_remaining_budget * IF(cc_delta&gt;0, cc_delta, 0)</f>
        <v>5650</v>
      </c>
      <c r="O91" s="96">
        <f ca="1">cc_in_focus * cc_show_type * IF(cc_delta&lt;0, ABS(cc_delta), 0)</f>
        <v>0</v>
      </c>
      <c r="P91" s="96">
        <f ca="1">NOT(cc_in_focus) * cc_show_type * MIN(cc_tracked, cc_budget)</f>
        <v>0</v>
      </c>
      <c r="Q91" s="96">
        <f ca="1">NOT(cc_in_focus) * cc_show_type * cc_show_remaining_budget * IF(cc_delta&gt;0, cc_delta, 0)</f>
        <v>0</v>
      </c>
      <c r="R91" s="96">
        <f ca="1">NOT(cc_in_focus) * cc_show_type * IF(cc_delta&lt;0, ABS(cc_delta), 0)</f>
        <v>0</v>
      </c>
    </row>
    <row r="92" spans="4:18" x14ac:dyDescent="0.25">
      <c r="D92" s="89"/>
      <c r="E92" s="92" t="s">
        <v>8</v>
      </c>
      <c r="F92" s="92">
        <f t="shared" ref="F92:F102" ca="1" si="59">MONTH(D91)</f>
        <v>10</v>
      </c>
      <c r="G92" s="92">
        <f>IF(selected_period="Total Year", 1, IF(selected_period=cc_month_number, 1, 0))</f>
        <v>1</v>
      </c>
      <c r="H92" s="92">
        <f t="shared" ref="H92" si="60">1*$E$50</f>
        <v>1</v>
      </c>
      <c r="I92" s="92">
        <f t="shared" si="3"/>
        <v>1</v>
      </c>
      <c r="J92" s="96" cm="1">
        <f t="array" aca="1" ref="J92" ca="1">SUM(Tracking[Amount] * (Tracking[Type]=cc_type) * (YEAR(Tracking[Effective Date])=selected_year) * (MONTH(Tracking[Effective Date])=cc_month_number))</f>
        <v>0</v>
      </c>
      <c r="K92" s="96" cm="1">
        <f t="array" aca="1" ref="K92" ca="1">INDEX('Budget Planning'!$E:$EM, expenses_total_row, MATCH(DATE(selected_year, cc_month_number, 1), 'Budget Planning'!$E$9:$EM$9, 0))</f>
        <v>2900</v>
      </c>
      <c r="L92" s="96">
        <f ca="1">cc_budget-cc_tracked</f>
        <v>2900</v>
      </c>
      <c r="M92" s="96">
        <f ca="1">cc_in_focus * cc_show_type * MIN(cc_tracked, cc_budget)</f>
        <v>0</v>
      </c>
      <c r="N92" s="96">
        <f ca="1">cc_in_focus * cc_show_type * cc_show_remaining_budget * IF(cc_delta&gt;0, cc_delta, 0)</f>
        <v>2900</v>
      </c>
      <c r="O92" s="96">
        <f ca="1">cc_in_focus * cc_show_type * IF(cc_delta&lt;0, ABS(cc_delta), 0)</f>
        <v>0</v>
      </c>
      <c r="P92" s="96">
        <f ca="1">NOT(cc_in_focus) * cc_show_type * MIN(cc_tracked, cc_budget)</f>
        <v>0</v>
      </c>
      <c r="Q92" s="96">
        <f ca="1">NOT(cc_in_focus) * cc_show_type * cc_show_remaining_budget * IF(cc_delta&gt;0, cc_delta, 0)</f>
        <v>0</v>
      </c>
      <c r="R92" s="96">
        <f ca="1">NOT(cc_in_focus) * cc_show_type * IF(cc_delta&lt;0, ABS(cc_delta), 0)</f>
        <v>0</v>
      </c>
    </row>
    <row r="93" spans="4:18" x14ac:dyDescent="0.25">
      <c r="D93" s="89"/>
      <c r="E93" s="92" t="s">
        <v>13</v>
      </c>
      <c r="F93" s="92">
        <f t="shared" ref="F93" ca="1" si="61">MONTH(D91)</f>
        <v>10</v>
      </c>
      <c r="G93" s="92">
        <f>IF(selected_period="Total Year", 1, IF(selected_period=cc_month_number, 1, 0))</f>
        <v>1</v>
      </c>
      <c r="H93" s="92">
        <f t="shared" ref="H93" si="62">1*$E$51</f>
        <v>1</v>
      </c>
      <c r="I93" s="92">
        <f t="shared" si="3"/>
        <v>1</v>
      </c>
      <c r="J93" s="96" cm="1">
        <f t="array" aca="1" ref="J93" ca="1">SUM(Tracking[Amount] * (Tracking[Type]=cc_type) * (YEAR(Tracking[Effective Date])=selected_year) * (MONTH(Tracking[Effective Date])=cc_month_number))</f>
        <v>0</v>
      </c>
      <c r="K93" s="96" cm="1">
        <f t="array" aca="1" ref="K93" ca="1">INDEX('Budget Planning'!$E:$EM, savings_total_row, MATCH(DATE(selected_year, cc_month_number, 1), 'Budget Planning'!$E$9:$EM$9, 0))</f>
        <v>2750</v>
      </c>
      <c r="L93" s="96">
        <f ca="1">cc_budget-cc_tracked</f>
        <v>2750</v>
      </c>
      <c r="M93" s="96">
        <f ca="1">cc_in_focus * cc_show_type * MIN(cc_tracked, cc_budget)</f>
        <v>0</v>
      </c>
      <c r="N93" s="96">
        <f ca="1">cc_in_focus * cc_show_type * cc_show_remaining_budget * IF(cc_delta&gt;0, cc_delta, 0)</f>
        <v>2750</v>
      </c>
      <c r="O93" s="96">
        <f ca="1">cc_in_focus * cc_show_type * IF(cc_delta&lt;0, ABS(cc_delta), 0)</f>
        <v>0</v>
      </c>
      <c r="P93" s="96">
        <f ca="1">NOT(cc_in_focus) * cc_show_type * MIN(cc_tracked, cc_budget)</f>
        <v>0</v>
      </c>
      <c r="Q93" s="96">
        <f ca="1">NOT(cc_in_focus) * cc_show_type * cc_show_remaining_budget * IF(cc_delta&gt;0, cc_delta, 0)</f>
        <v>0</v>
      </c>
      <c r="R93" s="96">
        <f ca="1">NOT(cc_in_focus) * cc_show_type * IF(cc_delta&lt;0, ABS(cc_delta), 0)</f>
        <v>0</v>
      </c>
    </row>
    <row r="94" spans="4:18" x14ac:dyDescent="0.25">
      <c r="D94" s="90"/>
      <c r="E94" s="93"/>
      <c r="F94" s="93"/>
      <c r="G94" s="93"/>
      <c r="H94" s="93"/>
      <c r="I94" s="93"/>
      <c r="J94" s="97"/>
      <c r="K94" s="97"/>
      <c r="L94" s="97"/>
      <c r="M94" s="97"/>
      <c r="N94" s="97"/>
      <c r="O94" s="97"/>
      <c r="P94" s="97"/>
      <c r="Q94" s="97"/>
      <c r="R94" s="97"/>
    </row>
    <row r="95" spans="4:18" x14ac:dyDescent="0.25">
      <c r="D95" s="88">
        <f ca="1">DATE(selected_year, 11, 1)</f>
        <v>45962</v>
      </c>
      <c r="E95" s="91" t="s">
        <v>4</v>
      </c>
      <c r="F95" s="92">
        <f t="shared" ref="F95:F102" ca="1" si="63">MONTH(D95)</f>
        <v>11</v>
      </c>
      <c r="G95" s="92">
        <f>IF(selected_period="Total Year", 1, IF(selected_period=cc_month_number, 1, 0))</f>
        <v>1</v>
      </c>
      <c r="H95" s="92">
        <f t="shared" ref="H95" si="64">1*$E$49</f>
        <v>1</v>
      </c>
      <c r="I95" s="92">
        <f t="shared" ref="I95" si="65">1*$E$52</f>
        <v>1</v>
      </c>
      <c r="J95" s="96" cm="1">
        <f t="array" aca="1" ref="J95" ca="1">SUM(Tracking[Amount] * (Tracking[Type]=cc_type) * (YEAR(Tracking[Effective Date])=selected_year) * (MONTH(Tracking[Effective Date])=cc_month_number))</f>
        <v>0</v>
      </c>
      <c r="K95" s="96" cm="1">
        <f t="array" aca="1" ref="K95" ca="1">INDEX('Budget Planning'!$E:$EM, income_total_row, MATCH(DATE(selected_year, cc_month_number, 1), 'Budget Planning'!$E$9:$EM$9, 0))</f>
        <v>5550</v>
      </c>
      <c r="L95" s="96">
        <f ca="1">cc_budget-cc_tracked</f>
        <v>5550</v>
      </c>
      <c r="M95" s="96">
        <f ca="1">cc_in_focus * cc_show_type * MIN(cc_tracked, cc_budget)</f>
        <v>0</v>
      </c>
      <c r="N95" s="96">
        <f ca="1">cc_in_focus * cc_show_type * cc_show_remaining_budget * IF(cc_delta&gt;0, cc_delta, 0)</f>
        <v>5550</v>
      </c>
      <c r="O95" s="96">
        <f ca="1">cc_in_focus * cc_show_type * IF(cc_delta&lt;0, ABS(cc_delta), 0)</f>
        <v>0</v>
      </c>
      <c r="P95" s="96">
        <f ca="1">NOT(cc_in_focus) * cc_show_type * MIN(cc_tracked, cc_budget)</f>
        <v>0</v>
      </c>
      <c r="Q95" s="96">
        <f ca="1">NOT(cc_in_focus) * cc_show_type * cc_show_remaining_budget * IF(cc_delta&gt;0, cc_delta, 0)</f>
        <v>0</v>
      </c>
      <c r="R95" s="96">
        <f ca="1">NOT(cc_in_focus) * cc_show_type * IF(cc_delta&lt;0, ABS(cc_delta), 0)</f>
        <v>0</v>
      </c>
    </row>
    <row r="96" spans="4:18" x14ac:dyDescent="0.25">
      <c r="D96" s="89"/>
      <c r="E96" s="92" t="s">
        <v>8</v>
      </c>
      <c r="F96" s="92">
        <f t="shared" ref="F96:F102" ca="1" si="66">MONTH(D95)</f>
        <v>11</v>
      </c>
      <c r="G96" s="92">
        <f>IF(selected_period="Total Year", 1, IF(selected_period=cc_month_number, 1, 0))</f>
        <v>1</v>
      </c>
      <c r="H96" s="92">
        <f t="shared" ref="H96" si="67">1*$E$50</f>
        <v>1</v>
      </c>
      <c r="I96" s="92">
        <f t="shared" si="3"/>
        <v>1</v>
      </c>
      <c r="J96" s="96" cm="1">
        <f t="array" aca="1" ref="J96" ca="1">SUM(Tracking[Amount] * (Tracking[Type]=cc_type) * (YEAR(Tracking[Effective Date])=selected_year) * (MONTH(Tracking[Effective Date])=cc_month_number))</f>
        <v>0</v>
      </c>
      <c r="K96" s="96" cm="1">
        <f t="array" aca="1" ref="K96" ca="1">INDEX('Budget Planning'!$E:$EM, expenses_total_row, MATCH(DATE(selected_year, cc_month_number, 1), 'Budget Planning'!$E$9:$EM$9, 0))</f>
        <v>2900</v>
      </c>
      <c r="L96" s="96">
        <f ca="1">cc_budget-cc_tracked</f>
        <v>2900</v>
      </c>
      <c r="M96" s="96">
        <f ca="1">cc_in_focus * cc_show_type * MIN(cc_tracked, cc_budget)</f>
        <v>0</v>
      </c>
      <c r="N96" s="96">
        <f ca="1">cc_in_focus * cc_show_type * cc_show_remaining_budget * IF(cc_delta&gt;0, cc_delta, 0)</f>
        <v>2900</v>
      </c>
      <c r="O96" s="96">
        <f ca="1">cc_in_focus * cc_show_type * IF(cc_delta&lt;0, ABS(cc_delta), 0)</f>
        <v>0</v>
      </c>
      <c r="P96" s="96">
        <f ca="1">NOT(cc_in_focus) * cc_show_type * MIN(cc_tracked, cc_budget)</f>
        <v>0</v>
      </c>
      <c r="Q96" s="96">
        <f ca="1">NOT(cc_in_focus) * cc_show_type * cc_show_remaining_budget * IF(cc_delta&gt;0, cc_delta, 0)</f>
        <v>0</v>
      </c>
      <c r="R96" s="96">
        <f ca="1">NOT(cc_in_focus) * cc_show_type * IF(cc_delta&lt;0, ABS(cc_delta), 0)</f>
        <v>0</v>
      </c>
    </row>
    <row r="97" spans="4:18" x14ac:dyDescent="0.25">
      <c r="D97" s="89"/>
      <c r="E97" s="92" t="s">
        <v>13</v>
      </c>
      <c r="F97" s="92">
        <f t="shared" ref="F97" ca="1" si="68">MONTH(D95)</f>
        <v>11</v>
      </c>
      <c r="G97" s="92">
        <f>IF(selected_period="Total Year", 1, IF(selected_period=cc_month_number, 1, 0))</f>
        <v>1</v>
      </c>
      <c r="H97" s="92">
        <f t="shared" ref="H97" si="69">1*$E$51</f>
        <v>1</v>
      </c>
      <c r="I97" s="92">
        <f t="shared" si="3"/>
        <v>1</v>
      </c>
      <c r="J97" s="96" cm="1">
        <f t="array" aca="1" ref="J97" ca="1">SUM(Tracking[Amount] * (Tracking[Type]=cc_type) * (YEAR(Tracking[Effective Date])=selected_year) * (MONTH(Tracking[Effective Date])=cc_month_number))</f>
        <v>0</v>
      </c>
      <c r="K97" s="96" cm="1">
        <f t="array" aca="1" ref="K97" ca="1">INDEX('Budget Planning'!$E:$EM, savings_total_row, MATCH(DATE(selected_year, cc_month_number, 1), 'Budget Planning'!$E$9:$EM$9, 0))</f>
        <v>2650</v>
      </c>
      <c r="L97" s="96">
        <f ca="1">cc_budget-cc_tracked</f>
        <v>2650</v>
      </c>
      <c r="M97" s="96">
        <f ca="1">cc_in_focus * cc_show_type * MIN(cc_tracked, cc_budget)</f>
        <v>0</v>
      </c>
      <c r="N97" s="96">
        <f ca="1">cc_in_focus * cc_show_type * cc_show_remaining_budget * IF(cc_delta&gt;0, cc_delta, 0)</f>
        <v>2650</v>
      </c>
      <c r="O97" s="96">
        <f ca="1">cc_in_focus * cc_show_type * IF(cc_delta&lt;0, ABS(cc_delta), 0)</f>
        <v>0</v>
      </c>
      <c r="P97" s="96">
        <f ca="1">NOT(cc_in_focus) * cc_show_type * MIN(cc_tracked, cc_budget)</f>
        <v>0</v>
      </c>
      <c r="Q97" s="96">
        <f ca="1">NOT(cc_in_focus) * cc_show_type * cc_show_remaining_budget * IF(cc_delta&gt;0, cc_delta, 0)</f>
        <v>0</v>
      </c>
      <c r="R97" s="96">
        <f ca="1">NOT(cc_in_focus) * cc_show_type * IF(cc_delta&lt;0, ABS(cc_delta), 0)</f>
        <v>0</v>
      </c>
    </row>
    <row r="98" spans="4:18" x14ac:dyDescent="0.25">
      <c r="D98" s="90"/>
      <c r="E98" s="93"/>
      <c r="F98" s="93"/>
      <c r="G98" s="93"/>
      <c r="H98" s="93"/>
      <c r="I98" s="93"/>
      <c r="J98" s="97"/>
      <c r="K98" s="97"/>
      <c r="L98" s="97"/>
      <c r="M98" s="97"/>
      <c r="N98" s="97"/>
      <c r="O98" s="97"/>
      <c r="P98" s="97"/>
      <c r="Q98" s="97"/>
      <c r="R98" s="97"/>
    </row>
    <row r="99" spans="4:18" x14ac:dyDescent="0.25">
      <c r="D99" s="88">
        <f ca="1">DATE(selected_year, 12, 1)</f>
        <v>45992</v>
      </c>
      <c r="E99" s="91" t="s">
        <v>4</v>
      </c>
      <c r="F99" s="92">
        <f t="shared" ref="F99:F102" ca="1" si="70">MONTH(D99)</f>
        <v>12</v>
      </c>
      <c r="G99" s="92">
        <f>IF(selected_period="Total Year", 1, IF(selected_period=cc_month_number, 1, 0))</f>
        <v>1</v>
      </c>
      <c r="H99" s="92">
        <f t="shared" ref="H99" si="71">1*$E$49</f>
        <v>1</v>
      </c>
      <c r="I99" s="92">
        <f t="shared" ref="I99" si="72">1*$E$52</f>
        <v>1</v>
      </c>
      <c r="J99" s="96" cm="1">
        <f t="array" aca="1" ref="J99" ca="1">SUM(Tracking[Amount] * (Tracking[Type]=cc_type) * (YEAR(Tracking[Effective Date])=selected_year) * (MONTH(Tracking[Effective Date])=cc_month_number))</f>
        <v>0</v>
      </c>
      <c r="K99" s="96" cm="1">
        <f t="array" aca="1" ref="K99" ca="1">INDEX('Budget Planning'!$E:$EM, income_total_row, MATCH(DATE(selected_year, cc_month_number, 1), 'Budget Planning'!$E$9:$EM$9, 0))</f>
        <v>5600</v>
      </c>
      <c r="L99" s="96">
        <f ca="1">cc_budget-cc_tracked</f>
        <v>5600</v>
      </c>
      <c r="M99" s="96">
        <f ca="1">cc_in_focus * cc_show_type * MIN(cc_tracked, cc_budget)</f>
        <v>0</v>
      </c>
      <c r="N99" s="96">
        <f ca="1">cc_in_focus * cc_show_type * cc_show_remaining_budget * IF(cc_delta&gt;0, cc_delta, 0)</f>
        <v>5600</v>
      </c>
      <c r="O99" s="96">
        <f ca="1">cc_in_focus * cc_show_type * IF(cc_delta&lt;0, ABS(cc_delta), 0)</f>
        <v>0</v>
      </c>
      <c r="P99" s="96">
        <f ca="1">NOT(cc_in_focus) * cc_show_type * MIN(cc_tracked, cc_budget)</f>
        <v>0</v>
      </c>
      <c r="Q99" s="96">
        <f ca="1">NOT(cc_in_focus) * cc_show_type * cc_show_remaining_budget * IF(cc_delta&gt;0, cc_delta, 0)</f>
        <v>0</v>
      </c>
      <c r="R99" s="96">
        <f ca="1">NOT(cc_in_focus) * cc_show_type * IF(cc_delta&lt;0, ABS(cc_delta), 0)</f>
        <v>0</v>
      </c>
    </row>
    <row r="100" spans="4:18" x14ac:dyDescent="0.25">
      <c r="D100" s="89"/>
      <c r="E100" s="92" t="s">
        <v>8</v>
      </c>
      <c r="F100" s="92">
        <f t="shared" ref="F100:F102" ca="1" si="73">MONTH(D99)</f>
        <v>12</v>
      </c>
      <c r="G100" s="92">
        <f>IF(selected_period="Total Year", 1, IF(selected_period=cc_month_number, 1, 0))</f>
        <v>1</v>
      </c>
      <c r="H100" s="92">
        <f t="shared" ref="H100" si="74">1*$E$50</f>
        <v>1</v>
      </c>
      <c r="I100" s="92">
        <f t="shared" si="3"/>
        <v>1</v>
      </c>
      <c r="J100" s="96" cm="1">
        <f t="array" aca="1" ref="J100" ca="1">SUM(Tracking[Amount] * (Tracking[Type]=cc_type) * (YEAR(Tracking[Effective Date])=selected_year) * (MONTH(Tracking[Effective Date])=cc_month_number))</f>
        <v>0</v>
      </c>
      <c r="K100" s="96" cm="1">
        <f t="array" aca="1" ref="K100" ca="1">INDEX('Budget Planning'!$E:$EM, expenses_total_row, MATCH(DATE(selected_year, cc_month_number, 1), 'Budget Planning'!$E$9:$EM$9, 0))</f>
        <v>3350</v>
      </c>
      <c r="L100" s="96">
        <f ca="1">cc_budget-cc_tracked</f>
        <v>3350</v>
      </c>
      <c r="M100" s="96">
        <f ca="1">cc_in_focus * cc_show_type * MIN(cc_tracked, cc_budget)</f>
        <v>0</v>
      </c>
      <c r="N100" s="96">
        <f ca="1">cc_in_focus * cc_show_type * cc_show_remaining_budget * IF(cc_delta&gt;0, cc_delta, 0)</f>
        <v>3350</v>
      </c>
      <c r="O100" s="96">
        <f ca="1">cc_in_focus * cc_show_type * IF(cc_delta&lt;0, ABS(cc_delta), 0)</f>
        <v>0</v>
      </c>
      <c r="P100" s="96">
        <f ca="1">NOT(cc_in_focus) * cc_show_type * MIN(cc_tracked, cc_budget)</f>
        <v>0</v>
      </c>
      <c r="Q100" s="96">
        <f ca="1">NOT(cc_in_focus) * cc_show_type * cc_show_remaining_budget * IF(cc_delta&gt;0, cc_delta, 0)</f>
        <v>0</v>
      </c>
      <c r="R100" s="96">
        <f ca="1">NOT(cc_in_focus) * cc_show_type * IF(cc_delta&lt;0, ABS(cc_delta), 0)</f>
        <v>0</v>
      </c>
    </row>
    <row r="101" spans="4:18" x14ac:dyDescent="0.25">
      <c r="D101" s="89"/>
      <c r="E101" s="92" t="s">
        <v>13</v>
      </c>
      <c r="F101" s="92">
        <f t="shared" ref="F101" ca="1" si="75">MONTH(D99)</f>
        <v>12</v>
      </c>
      <c r="G101" s="92">
        <f>IF(selected_period="Total Year", 1, IF(selected_period=cc_month_number, 1, 0))</f>
        <v>1</v>
      </c>
      <c r="H101" s="92">
        <f t="shared" ref="H101" si="76">1*$E$51</f>
        <v>1</v>
      </c>
      <c r="I101" s="92">
        <f t="shared" si="3"/>
        <v>1</v>
      </c>
      <c r="J101" s="96" cm="1">
        <f t="array" aca="1" ref="J101" ca="1">SUM(Tracking[Amount] * (Tracking[Type]=cc_type) * (YEAR(Tracking[Effective Date])=selected_year) * (MONTH(Tracking[Effective Date])=cc_month_number))</f>
        <v>0</v>
      </c>
      <c r="K101" s="96" cm="1">
        <f t="array" aca="1" ref="K101" ca="1">INDEX('Budget Planning'!$E:$EM, savings_total_row, MATCH(DATE(selected_year, cc_month_number, 1), 'Budget Planning'!$E$9:$EM$9, 0))</f>
        <v>2250</v>
      </c>
      <c r="L101" s="96">
        <f ca="1">cc_budget-cc_tracked</f>
        <v>2250</v>
      </c>
      <c r="M101" s="96">
        <f ca="1">cc_in_focus * cc_show_type * MIN(cc_tracked, cc_budget)</f>
        <v>0</v>
      </c>
      <c r="N101" s="96">
        <f ca="1">cc_in_focus * cc_show_type * cc_show_remaining_budget * IF(cc_delta&gt;0, cc_delta, 0)</f>
        <v>2250</v>
      </c>
      <c r="O101" s="96">
        <f ca="1">cc_in_focus * cc_show_type * IF(cc_delta&lt;0, ABS(cc_delta), 0)</f>
        <v>0</v>
      </c>
      <c r="P101" s="96">
        <f ca="1">NOT(cc_in_focus) * cc_show_type * MIN(cc_tracked, cc_budget)</f>
        <v>0</v>
      </c>
      <c r="Q101" s="96">
        <f ca="1">NOT(cc_in_focus) * cc_show_type * cc_show_remaining_budget * IF(cc_delta&gt;0, cc_delta, 0)</f>
        <v>0</v>
      </c>
      <c r="R101" s="96">
        <f ca="1">NOT(cc_in_focus) * cc_show_type * IF(cc_delta&lt;0, ABS(cc_delta), 0)</f>
        <v>0</v>
      </c>
    </row>
    <row r="102" spans="4:18" x14ac:dyDescent="0.25">
      <c r="D102" s="90"/>
      <c r="E102" s="93"/>
      <c r="F102" s="93"/>
      <c r="G102" s="93"/>
      <c r="H102" s="93"/>
      <c r="I102" s="93"/>
      <c r="J102" s="97"/>
      <c r="K102" s="97"/>
      <c r="L102" s="97"/>
      <c r="M102" s="97"/>
      <c r="N102" s="97"/>
      <c r="O102" s="97"/>
      <c r="P102" s="97"/>
      <c r="Q102" s="97"/>
      <c r="R102" s="97"/>
    </row>
  </sheetData>
  <mergeCells count="16">
    <mergeCell ref="D99:D102"/>
    <mergeCell ref="D79:D82"/>
    <mergeCell ref="D83:D86"/>
    <mergeCell ref="D87:D90"/>
    <mergeCell ref="D91:D94"/>
    <mergeCell ref="D95:D98"/>
    <mergeCell ref="D59:D62"/>
    <mergeCell ref="D63:D66"/>
    <mergeCell ref="D67:D70"/>
    <mergeCell ref="D71:D74"/>
    <mergeCell ref="D75:D78"/>
    <mergeCell ref="C6:F6"/>
    <mergeCell ref="C17:F17"/>
    <mergeCell ref="M53:O53"/>
    <mergeCell ref="P53:R53"/>
    <mergeCell ref="D55:D58"/>
  </mergeCells>
  <phoneticPr fontId="2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428E-AAF8-4CC5-B0D4-E5CAFC50A6A4}">
  <sheetPr>
    <tabColor theme="5"/>
  </sheetPr>
  <dimension ref="C1:E21"/>
  <sheetViews>
    <sheetView showGridLines="0" workbookViewId="0">
      <selection activeCell="G7" sqref="G7"/>
    </sheetView>
  </sheetViews>
  <sheetFormatPr defaultRowHeight="15" x14ac:dyDescent="0.25"/>
  <cols>
    <col min="1" max="1" width="4.28515625" customWidth="1"/>
    <col min="2" max="2" width="1.85546875" customWidth="1"/>
    <col min="3" max="3" width="23" customWidth="1"/>
    <col min="5" max="5" width="23.140625" customWidth="1"/>
  </cols>
  <sheetData>
    <row r="1" spans="3:5" s="33" customFormat="1" ht="7.5" customHeight="1" x14ac:dyDescent="0.25"/>
    <row r="2" spans="3:5" s="33" customFormat="1" ht="25.5" customHeight="1" x14ac:dyDescent="0.25"/>
    <row r="3" spans="3:5" s="33" customFormat="1" ht="7.5" customHeight="1" x14ac:dyDescent="0.25"/>
    <row r="7" spans="3:5" x14ac:dyDescent="0.25">
      <c r="C7" s="1" t="s">
        <v>54</v>
      </c>
      <c r="E7" s="1" t="s">
        <v>56</v>
      </c>
    </row>
    <row r="8" spans="3:5" x14ac:dyDescent="0.25">
      <c r="C8" s="34" t="s">
        <v>55</v>
      </c>
      <c r="E8" s="34" t="s">
        <v>57</v>
      </c>
    </row>
    <row r="9" spans="3:5" x14ac:dyDescent="0.25">
      <c r="C9" s="34">
        <f>starting_year</f>
        <v>2025</v>
      </c>
      <c r="E9" s="34" t="s">
        <v>58</v>
      </c>
    </row>
    <row r="10" spans="3:5" x14ac:dyDescent="0.25">
      <c r="C10" s="34">
        <f>C9+1</f>
        <v>2026</v>
      </c>
      <c r="E10" s="36">
        <v>36526</v>
      </c>
    </row>
    <row r="11" spans="3:5" x14ac:dyDescent="0.25">
      <c r="C11" s="34">
        <f t="shared" ref="C11:C19" si="0">C10+1</f>
        <v>2027</v>
      </c>
      <c r="E11" s="36">
        <v>36557</v>
      </c>
    </row>
    <row r="12" spans="3:5" x14ac:dyDescent="0.25">
      <c r="C12" s="34">
        <f t="shared" si="0"/>
        <v>2028</v>
      </c>
      <c r="E12" s="36">
        <v>36586</v>
      </c>
    </row>
    <row r="13" spans="3:5" x14ac:dyDescent="0.25">
      <c r="C13" s="34">
        <f t="shared" si="0"/>
        <v>2029</v>
      </c>
      <c r="E13" s="36">
        <v>36617</v>
      </c>
    </row>
    <row r="14" spans="3:5" x14ac:dyDescent="0.25">
      <c r="C14" s="34">
        <f t="shared" si="0"/>
        <v>2030</v>
      </c>
      <c r="E14" s="36">
        <v>36647</v>
      </c>
    </row>
    <row r="15" spans="3:5" x14ac:dyDescent="0.25">
      <c r="C15" s="34">
        <f t="shared" si="0"/>
        <v>2031</v>
      </c>
      <c r="E15" s="36">
        <v>36678</v>
      </c>
    </row>
    <row r="16" spans="3:5" x14ac:dyDescent="0.25">
      <c r="C16" s="34">
        <f t="shared" si="0"/>
        <v>2032</v>
      </c>
      <c r="E16" s="36">
        <v>36708</v>
      </c>
    </row>
    <row r="17" spans="3:5" x14ac:dyDescent="0.25">
      <c r="C17" s="34">
        <f t="shared" si="0"/>
        <v>2033</v>
      </c>
      <c r="E17" s="36">
        <v>36739</v>
      </c>
    </row>
    <row r="18" spans="3:5" x14ac:dyDescent="0.25">
      <c r="C18" s="34">
        <f t="shared" si="0"/>
        <v>2034</v>
      </c>
      <c r="E18" s="36">
        <v>36770</v>
      </c>
    </row>
    <row r="19" spans="3:5" x14ac:dyDescent="0.25">
      <c r="C19" s="35">
        <f t="shared" si="0"/>
        <v>2035</v>
      </c>
      <c r="E19" s="36">
        <v>36800</v>
      </c>
    </row>
    <row r="20" spans="3:5" x14ac:dyDescent="0.25">
      <c r="E20" s="36">
        <v>36831</v>
      </c>
    </row>
    <row r="21" spans="3:5" x14ac:dyDescent="0.25">
      <c r="E21" s="37">
        <v>36861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39</vt:i4>
      </vt:variant>
    </vt:vector>
  </HeadingPairs>
  <TitlesOfParts>
    <vt:vector size="45" baseType="lpstr">
      <vt:lpstr>Settings</vt:lpstr>
      <vt:lpstr>Budget Planning</vt:lpstr>
      <vt:lpstr>Budget Tracking</vt:lpstr>
      <vt:lpstr>Budget Dashboard</vt:lpstr>
      <vt:lpstr>Calculations</vt:lpstr>
      <vt:lpstr>Dropdown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Calculations!cc_show_remaining_budget</vt:lpstr>
      <vt:lpstr>Calculations!cc_show_type</vt:lpstr>
      <vt:lpstr>Calculations!cc_tracked</vt:lpstr>
      <vt:lpstr>Calculations!cc_type</vt:lpstr>
      <vt:lpstr>'Budget Dashboard'!combined_rank</vt:lpstr>
      <vt:lpstr>'Budget Dashboard'!combined_rank_norm</vt:lpstr>
      <vt:lpstr>'Budget Dashboard'!combined_rank_norm_run_range</vt:lpstr>
      <vt:lpstr>'Budget Dashboard'!combined_rank_range</vt:lpstr>
      <vt:lpstr>'Budget Dashboard'!combined_rank_unique</vt:lpstr>
      <vt:lpstr>'Budget Dashboard'!header_row_id</vt:lpstr>
      <vt:lpstr>'Budget Dashboard'!is_category</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savings_rate_calculation_type</vt:lpstr>
      <vt:lpstr>selected_period</vt:lpstr>
      <vt:lpstr>selected_period_display</vt:lpstr>
      <vt:lpstr>selected_year</vt:lpstr>
      <vt:lpstr>shift_late_income_starting_day</vt:lpstr>
      <vt:lpstr>shift_late_income_status</vt:lpstr>
      <vt:lpstr>'Budget Dashboard'!sort_max_row</vt:lpstr>
      <vt:lpstr>'Budget Dashboard'!sort_min_row</vt:lpstr>
      <vt:lpstr>starting_year</vt:lpstr>
      <vt:lpstr>'Budget Dashboard'!tracked</vt:lpstr>
      <vt:lpstr>'Budget Dashboard'!tracked_range</vt:lpstr>
      <vt:lpstr>'Budget Dashboard'!tracker_rank</vt:lpstr>
      <vt:lpstr>'Budget Dashboard'!type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 Petričić</dc:creator>
  <cp:lastModifiedBy>Luka Petričić</cp:lastModifiedBy>
  <dcterms:created xsi:type="dcterms:W3CDTF">2025-02-17T20:28:01Z</dcterms:created>
  <dcterms:modified xsi:type="dcterms:W3CDTF">2025-03-06T23:53:31Z</dcterms:modified>
</cp:coreProperties>
</file>